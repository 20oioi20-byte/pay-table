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급여테이블(변경전)" sheetId="1" state="visible" r:id="rId3"/>
    <sheet name="급여테이블(변경후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<sst xmlns="http://schemas.openxmlformats.org/spreadsheetml/2006/main" count="378" uniqueCount="126">
  <si>
    <r>
      <rPr>
        <sz val="11"/>
        <color theme="1"/>
        <rFont val="WenQuanYi Zen Hei"/>
        <family val="2"/>
      </rPr>
      <t xml:space="preserve">평택고객센터 직무</t>
    </r>
    <r>
      <rPr>
        <sz val="11"/>
        <color theme="1"/>
        <rFont val="Calibri"/>
        <family val="2"/>
        <charset val="1"/>
      </rPr>
      <t xml:space="preserve">GROUP </t>
    </r>
    <r>
      <rPr>
        <sz val="11"/>
        <color theme="1"/>
        <rFont val="WenQuanYi Zen Hei"/>
        <family val="2"/>
      </rPr>
      <t xml:space="preserve">인력운영 기준</t>
    </r>
  </si>
  <si>
    <r>
      <rPr>
        <sz val="11"/>
        <color theme="1"/>
        <rFont val="Calibri"/>
        <family val="2"/>
        <charset val="1"/>
      </rPr>
      <t xml:space="preserve">Ⅰ. </t>
    </r>
    <r>
      <rPr>
        <sz val="11"/>
        <color theme="1"/>
        <rFont val="WenQuanYi Zen Hei"/>
        <family val="2"/>
      </rPr>
      <t xml:space="preserve">관리</t>
    </r>
  </si>
  <si>
    <r>
      <rPr>
        <sz val="11"/>
        <color theme="1"/>
        <rFont val="Calibri"/>
        <family val="2"/>
        <charset val="1"/>
      </rPr>
      <t xml:space="preserve">[ </t>
    </r>
    <r>
      <rPr>
        <sz val="11"/>
        <color theme="1"/>
        <rFont val="WenQuanYi Zen Hei"/>
        <family val="2"/>
      </rPr>
      <t xml:space="preserve">담당</t>
    </r>
    <r>
      <rPr>
        <sz val="11"/>
        <color theme="1"/>
        <rFont val="Calibri"/>
        <family val="2"/>
        <charset val="1"/>
      </rPr>
      <t xml:space="preserve">PM : </t>
    </r>
    <r>
      <rPr>
        <sz val="11"/>
        <color theme="1"/>
        <rFont val="WenQuanYi Zen Hei"/>
        <family val="2"/>
      </rPr>
      <t xml:space="preserve">김더미 </t>
    </r>
    <r>
      <rPr>
        <sz val="11"/>
        <color theme="1"/>
        <rFont val="Calibri"/>
        <family val="2"/>
        <charset val="1"/>
      </rPr>
      <t xml:space="preserve">]</t>
    </r>
  </si>
  <si>
    <t xml:space="preserve">요청조직명</t>
  </si>
  <si>
    <t xml:space="preserve">더미사업본부 경기사업단 평택운영팀</t>
  </si>
  <si>
    <t xml:space="preserve">요청일자</t>
  </si>
  <si>
    <t xml:space="preserve">요청사유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</si>
  <si>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WenQuanYi Zen Hei"/>
        <family val="2"/>
      </rPr>
      <t xml:space="preserve">년 최저임금 인상 및 단축상담 근무시간 조정</t>
    </r>
  </si>
  <si>
    <t xml:space="preserve">관리번호</t>
  </si>
  <si>
    <r>
      <rPr>
        <sz val="11"/>
        <color theme="1"/>
        <rFont val="WenQuanYi Zen Hei"/>
        <family val="2"/>
      </rPr>
      <t xml:space="preserve">평택고객센터</t>
    </r>
    <r>
      <rPr>
        <sz val="11"/>
        <color theme="1"/>
        <rFont val="Calibri"/>
        <family val="2"/>
        <charset val="1"/>
      </rPr>
      <t xml:space="preserve">/2026</t>
    </r>
    <r>
      <rPr>
        <sz val="11"/>
        <color theme="1"/>
        <rFont val="WenQuanYi Zen Hei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WenQuanYi Zen Hei"/>
        <family val="2"/>
      </rPr>
      <t xml:space="preserve">월</t>
    </r>
  </si>
  <si>
    <r>
      <rPr>
        <sz val="11"/>
        <color theme="1"/>
        <rFont val="Calibri"/>
        <family val="2"/>
        <charset val="1"/>
      </rPr>
      <t xml:space="preserve">Ⅱ. </t>
    </r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Group</t>
    </r>
  </si>
  <si>
    <t xml:space="preserve">직군명</t>
  </si>
  <si>
    <r>
      <rPr>
        <sz val="11"/>
        <color theme="1"/>
        <rFont val="Calibri"/>
        <family val="2"/>
        <charset val="1"/>
      </rPr>
      <t xml:space="preserve">TM</t>
    </r>
    <r>
      <rPr>
        <sz val="11"/>
        <color theme="1"/>
        <rFont val="WenQuanYi Zen Hei"/>
        <family val="2"/>
      </rPr>
      <t xml:space="preserve">직군</t>
    </r>
  </si>
  <si>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Group</t>
    </r>
    <r>
      <rPr>
        <sz val="11"/>
        <color theme="1"/>
        <rFont val="WenQuanYi Zen Hei"/>
        <family val="2"/>
      </rPr>
      <t xml:space="preserve">명</t>
    </r>
  </si>
  <si>
    <t xml:space="preserve">평택고객센터</t>
  </si>
  <si>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Group</t>
    </r>
    <r>
      <rPr>
        <sz val="11"/>
        <color theme="1"/>
        <rFont val="WenQuanYi Zen Hei"/>
        <family val="2"/>
      </rPr>
      <t xml:space="preserve">정의</t>
    </r>
  </si>
  <si>
    <t xml:space="preserve">통신 고객상담</t>
  </si>
  <si>
    <r>
      <rPr>
        <sz val="11"/>
        <color theme="1"/>
        <rFont val="Calibri"/>
        <family val="2"/>
        <charset val="1"/>
      </rPr>
      <t xml:space="preserve">Ⅲ. </t>
    </r>
    <r>
      <rPr>
        <sz val="11"/>
        <color theme="1"/>
        <rFont val="WenQuanYi Zen Hei"/>
        <family val="2"/>
      </rPr>
      <t xml:space="preserve">직무</t>
    </r>
  </si>
  <si>
    <t xml:space="preserve">구분</t>
  </si>
  <si>
    <t xml:space="preserve">직무명</t>
  </si>
  <si>
    <t xml:space="preserve">직무정의</t>
  </si>
  <si>
    <r>
      <rPr>
        <sz val="11"/>
        <color theme="1"/>
        <rFont val="WenQuanYi Zen Hei"/>
        <family val="2"/>
      </rPr>
      <t xml:space="preserve">직무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직책수당</t>
    </r>
  </si>
  <si>
    <t xml:space="preserve">정원</t>
  </si>
  <si>
    <t xml:space="preserve">조직장</t>
  </si>
  <si>
    <t xml:space="preserve">센터장</t>
  </si>
  <si>
    <t xml:space="preserve">센터장 업무</t>
  </si>
  <si>
    <t xml:space="preserve">실장</t>
  </si>
  <si>
    <t xml:space="preserve">실장 업무</t>
  </si>
  <si>
    <t xml:space="preserve">팀장</t>
  </si>
  <si>
    <t xml:space="preserve">팀장 업무</t>
  </si>
  <si>
    <r>
      <rPr>
        <sz val="11"/>
        <color theme="1"/>
        <rFont val="WenQuanYi Zen Hei"/>
        <family val="2"/>
      </rPr>
      <t xml:space="preserve">교육</t>
    </r>
    <r>
      <rPr>
        <sz val="11"/>
        <color theme="1"/>
        <rFont val="Calibri"/>
        <family val="2"/>
        <charset val="1"/>
      </rPr>
      <t xml:space="preserve">/QA</t>
    </r>
  </si>
  <si>
    <r>
      <rPr>
        <sz val="11"/>
        <color theme="1"/>
        <rFont val="WenQuanYi Zen Hei"/>
        <family val="2"/>
      </rPr>
      <t xml:space="preserve">교육</t>
    </r>
    <r>
      <rPr>
        <sz val="11"/>
        <color theme="1"/>
        <rFont val="Calibri"/>
        <family val="2"/>
        <charset val="1"/>
      </rPr>
      <t xml:space="preserve">/QA </t>
    </r>
    <r>
      <rPr>
        <sz val="11"/>
        <color theme="1"/>
        <rFont val="WenQuanYi Zen Hei"/>
        <family val="2"/>
      </rPr>
      <t xml:space="preserve">업무</t>
    </r>
  </si>
  <si>
    <t xml:space="preserve">조직원</t>
  </si>
  <si>
    <t xml:space="preserve">상담사</t>
  </si>
  <si>
    <t xml:space="preserve">상담사 업무</t>
  </si>
  <si>
    <r>
      <rPr>
        <sz val="11"/>
        <color theme="1"/>
        <rFont val="Calibri"/>
        <family val="2"/>
        <charset val="1"/>
      </rPr>
      <t xml:space="preserve">Ⅳ. </t>
    </r>
    <r>
      <rPr>
        <sz val="11"/>
        <color theme="1"/>
        <rFont val="WenQuanYi Zen Hei"/>
        <family val="2"/>
      </rPr>
      <t xml:space="preserve">정원</t>
    </r>
  </si>
  <si>
    <t xml:space="preserve">직급</t>
  </si>
  <si>
    <t xml:space="preserve">컨설턴트</t>
  </si>
  <si>
    <t xml:space="preserve">호봉</t>
  </si>
  <si>
    <t xml:space="preserve">일반상담 수습</t>
  </si>
  <si>
    <t xml:space="preserve">일반상담 사원</t>
  </si>
  <si>
    <t xml:space="preserve">일반상담 주임</t>
  </si>
  <si>
    <t xml:space="preserve">일반상담 선임</t>
  </si>
  <si>
    <t xml:space="preserve">일반상담 책임</t>
  </si>
  <si>
    <t xml:space="preserve">전문상담 사원</t>
  </si>
  <si>
    <t xml:space="preserve">전문상담 주임</t>
  </si>
  <si>
    <t xml:space="preserve">전문상담 선임</t>
  </si>
  <si>
    <t xml:space="preserve">야간상담 사원</t>
  </si>
  <si>
    <t xml:space="preserve">야간상담 선임</t>
  </si>
  <si>
    <t xml:space="preserve">단축상담 사원</t>
  </si>
  <si>
    <t xml:space="preserve">Staff</t>
  </si>
  <si>
    <t xml:space="preserve">파트장</t>
  </si>
  <si>
    <t xml:space="preserve">강사</t>
  </si>
  <si>
    <r>
      <rPr>
        <sz val="11"/>
        <color theme="1"/>
        <rFont val="Calibri"/>
        <family val="2"/>
        <charset val="1"/>
      </rPr>
      <t xml:space="preserve">Ⅴ. </t>
    </r>
    <r>
      <rPr>
        <sz val="11"/>
        <color theme="1"/>
        <rFont val="WenQuanYi Zen Hei"/>
        <family val="2"/>
      </rPr>
      <t xml:space="preserve">보수테이블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</si>
  <si>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단위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원</t>
    </r>
    <r>
      <rPr>
        <sz val="11"/>
        <color theme="1"/>
        <rFont val="Calibri"/>
        <family val="2"/>
        <charset val="1"/>
      </rPr>
      <t xml:space="preserve">)</t>
    </r>
  </si>
  <si>
    <t xml:space="preserve">일반상담</t>
  </si>
  <si>
    <t xml:space="preserve">전문상담</t>
  </si>
  <si>
    <t xml:space="preserve">야간상담</t>
  </si>
  <si>
    <t xml:space="preserve">단축상담</t>
  </si>
  <si>
    <t xml:space="preserve">비고</t>
  </si>
  <si>
    <t xml:space="preserve">수습</t>
  </si>
  <si>
    <t xml:space="preserve">사원</t>
  </si>
  <si>
    <t xml:space="preserve">주임</t>
  </si>
  <si>
    <t xml:space="preserve">선임</t>
  </si>
  <si>
    <t xml:space="preserve">책임</t>
  </si>
  <si>
    <t xml:space="preserve">기본급</t>
  </si>
  <si>
    <t xml:space="preserve">직책수당</t>
  </si>
  <si>
    <t xml:space="preserve">직무수당</t>
  </si>
  <si>
    <t xml:space="preserve">근속수당</t>
  </si>
  <si>
    <t xml:space="preserve">급식비</t>
  </si>
  <si>
    <t xml:space="preserve">통근비</t>
  </si>
  <si>
    <t xml:space="preserve">통상임금소계</t>
  </si>
  <si>
    <t xml:space="preserve">업적수당</t>
  </si>
  <si>
    <t xml:space="preserve">S</t>
  </si>
  <si>
    <t xml:space="preserve">평가결과에 따름</t>
  </si>
  <si>
    <t xml:space="preserve">A</t>
  </si>
  <si>
    <t xml:space="preserve">B</t>
  </si>
  <si>
    <t xml:space="preserve">C.</t>
  </si>
  <si>
    <t xml:space="preserve">D</t>
  </si>
  <si>
    <t xml:space="preserve">E</t>
  </si>
  <si>
    <t xml:space="preserve">초과근무수당</t>
  </si>
  <si>
    <r>
      <rPr>
        <sz val="11"/>
        <color theme="1"/>
        <rFont val="WenQuanYi Zen Hei"/>
        <family val="2"/>
      </rPr>
      <t xml:space="preserve">사원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책임 </t>
    </r>
    <r>
      <rPr>
        <sz val="11"/>
        <color theme="1"/>
        <rFont val="Calibri"/>
        <family val="2"/>
        <charset val="1"/>
      </rPr>
      <t xml:space="preserve">4H</t>
    </r>
  </si>
  <si>
    <t xml:space="preserve">야간근로수당</t>
  </si>
  <si>
    <t xml:space="preserve">통신비</t>
  </si>
  <si>
    <t xml:space="preserve">월 보수 합계</t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</si>
  <si>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WenQuanYi Zen Hei"/>
        <family val="2"/>
      </rPr>
      <t xml:space="preserve">등급 기준</t>
    </r>
  </si>
  <si>
    <r>
      <rPr>
        <sz val="11"/>
        <color theme="1"/>
        <rFont val="WenQuanYi Zen Hei"/>
        <family val="2"/>
      </rPr>
      <t xml:space="preserve">연차수당</t>
    </r>
    <r>
      <rPr>
        <sz val="11"/>
        <color theme="1"/>
        <rFont val="Calibri"/>
        <family val="2"/>
        <charset val="1"/>
      </rPr>
      <t xml:space="preserve">(1D)</t>
    </r>
  </si>
  <si>
    <r>
      <rPr>
        <sz val="11"/>
        <color theme="1"/>
        <rFont val="WenQuanYi Zen Hei"/>
        <family val="2"/>
      </rPr>
      <t xml:space="preserve">시간외수당</t>
    </r>
    <r>
      <rPr>
        <sz val="11"/>
        <color theme="1"/>
        <rFont val="Calibri"/>
        <family val="2"/>
        <charset val="1"/>
      </rPr>
      <t xml:space="preserve">(1H)</t>
    </r>
  </si>
  <si>
    <r>
      <rPr>
        <sz val="11"/>
        <color theme="1"/>
        <rFont val="WenQuanYi Zen Hei"/>
        <family val="2"/>
      </rPr>
      <t xml:space="preserve">휴일근로수당</t>
    </r>
    <r>
      <rPr>
        <sz val="11"/>
        <color theme="1"/>
        <rFont val="Calibri"/>
        <family val="2"/>
        <charset val="1"/>
      </rPr>
      <t xml:space="preserve">(1H)</t>
    </r>
  </si>
  <si>
    <r>
      <rPr>
        <sz val="11"/>
        <color theme="1"/>
        <rFont val="WenQuanYi Zen Hei"/>
        <family val="2"/>
      </rPr>
      <t xml:space="preserve">야근수당</t>
    </r>
    <r>
      <rPr>
        <sz val="11"/>
        <color theme="1"/>
        <rFont val="Calibri"/>
        <family val="2"/>
        <charset val="1"/>
      </rPr>
      <t xml:space="preserve">(1H)</t>
    </r>
  </si>
  <si>
    <t xml:space="preserve">호칭별 연간 보수 합계</t>
  </si>
  <si>
    <r>
      <rPr>
        <sz val="11"/>
        <color theme="1"/>
        <rFont val="WenQuanYi Zen Hei"/>
        <family val="2"/>
      </rPr>
      <t xml:space="preserve">ㅇ 리딩그룹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스탭이상 </t>
    </r>
    <r>
      <rPr>
        <sz val="11"/>
        <color theme="1"/>
        <rFont val="Calibri"/>
        <family val="2"/>
        <charset val="1"/>
      </rPr>
      <t xml:space="preserve">~ </t>
    </r>
    <r>
      <rPr>
        <sz val="11"/>
        <color theme="1"/>
        <rFont val="WenQuanYi Zen Hei"/>
        <family val="2"/>
      </rPr>
      <t xml:space="preserve">센터장</t>
    </r>
    <r>
      <rPr>
        <sz val="11"/>
        <color theme="1"/>
        <rFont val="Calibri"/>
        <family val="2"/>
        <charset val="1"/>
      </rPr>
      <t xml:space="preserve">)</t>
    </r>
  </si>
  <si>
    <t xml:space="preserve">Leader</t>
  </si>
  <si>
    <r>
      <rPr>
        <sz val="11"/>
        <color theme="1"/>
        <rFont val="WenQuanYi Zen Hei"/>
        <family val="2"/>
      </rPr>
      <t xml:space="preserve">파트장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팀장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강사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실장 </t>
    </r>
    <r>
      <rPr>
        <sz val="11"/>
        <color theme="1"/>
        <rFont val="Calibri"/>
        <family val="2"/>
        <charset val="1"/>
      </rPr>
      <t xml:space="preserve">5H</t>
    </r>
  </si>
  <si>
    <r>
      <rPr>
        <sz val="11"/>
        <color theme="1"/>
        <rFont val="Calibri"/>
        <family val="2"/>
        <charset val="1"/>
      </rPr>
      <t xml:space="preserve">Ⅵ. </t>
    </r>
    <r>
      <rPr>
        <sz val="11"/>
        <color theme="1"/>
        <rFont val="WenQuanYi Zen Hei"/>
        <family val="2"/>
      </rPr>
      <t xml:space="preserve">예외 및 특례사항</t>
    </r>
  </si>
  <si>
    <r>
      <rPr>
        <sz val="11"/>
        <color theme="1"/>
        <rFont val="Calibri"/>
        <family val="2"/>
        <charset val="1"/>
      </rPr>
      <t xml:space="preserve">     1. </t>
    </r>
    <r>
      <rPr>
        <sz val="11"/>
        <color theme="1"/>
        <rFont val="WenQuanYi Zen Hei"/>
        <family val="2"/>
      </rPr>
      <t xml:space="preserve">수습기간은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개월 적용한다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</si>
  <si>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   2. </t>
    </r>
    <r>
      <rPr>
        <sz val="11"/>
        <color theme="1"/>
        <rFont val="WenQuanYi Zen Hei"/>
        <family val="2"/>
      </rPr>
      <t xml:space="preserve">무급사유 발생 시 통상임금 항목은 일할 계산한다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</si>
  <si>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   3. </t>
    </r>
    <r>
      <rPr>
        <sz val="11"/>
        <color theme="1"/>
        <rFont val="WenQuanYi Zen Hei"/>
        <family val="2"/>
      </rPr>
      <t xml:space="preserve">업적수당 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WenQuanYi Zen Hei"/>
        <family val="2"/>
      </rPr>
      <t xml:space="preserve">성과평가 결과에 따라 직무별 차등 지급한다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</si>
  <si>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  9.</t>
    </r>
    <r>
      <rPr>
        <sz val="11"/>
        <color theme="1"/>
        <rFont val="WenQuanYi Zen Hei"/>
        <family val="2"/>
      </rPr>
      <t xml:space="preserve">근무형태</t>
    </r>
  </si>
  <si>
    <t xml:space="preserve">직무</t>
  </si>
  <si>
    <t xml:space="preserve"> 호봉</t>
  </si>
  <si>
    <t xml:space="preserve"> 근무일</t>
  </si>
  <si>
    <t xml:space="preserve"> 근무시간</t>
  </si>
  <si>
    <t xml:space="preserve"> 휴게시간</t>
  </si>
  <si>
    <t xml:space="preserve"> 비고</t>
  </si>
  <si>
    <r>
      <rPr>
        <sz val="11"/>
        <color theme="1"/>
        <rFont val="WenQuanYi Zen Hei"/>
        <family val="2"/>
      </rPr>
      <t xml:space="preserve">센터장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실장</t>
    </r>
  </si>
  <si>
    <r>
      <rPr>
        <sz val="11"/>
        <color theme="1"/>
        <rFont val="WenQuanYi Zen Hei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금</t>
    </r>
    <r>
      <rPr>
        <sz val="11"/>
        <color theme="1"/>
        <rFont val="Calibri"/>
        <family val="2"/>
        <charset val="1"/>
      </rPr>
      <t xml:space="preserve">), 40</t>
    </r>
    <r>
      <rPr>
        <sz val="11"/>
        <color theme="1"/>
        <rFont val="WenQuanYi Zen Hei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 </t>
    </r>
    <r>
      <rPr>
        <sz val="11"/>
        <color theme="1"/>
        <rFont val="Calibri"/>
        <family val="2"/>
        <charset val="1"/>
      </rPr>
      <t xml:space="preserve">8H)</t>
    </r>
  </si>
  <si>
    <t xml:space="preserve">09:00 ~ 18:00</t>
  </si>
  <si>
    <t xml:space="preserve">12:00 ~ 13:00</t>
  </si>
  <si>
    <r>
      <rPr>
        <sz val="11"/>
        <color theme="1"/>
        <rFont val="WenQuanYi Zen Hei"/>
        <family val="2"/>
      </rPr>
      <t xml:space="preserve">팀장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파트장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강사</t>
    </r>
  </si>
  <si>
    <r>
      <rPr>
        <sz val="11"/>
        <color theme="1"/>
        <rFont val="WenQuanYi Zen Hei"/>
        <family val="2"/>
      </rPr>
      <t xml:space="preserve">수습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사원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책임</t>
    </r>
  </si>
  <si>
    <r>
      <rPr>
        <sz val="11"/>
        <color theme="1"/>
        <rFont val="WenQuanYi Zen Hei"/>
        <family val="2"/>
      </rPr>
      <t xml:space="preserve">사원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선임</t>
    </r>
  </si>
  <si>
    <r>
      <rPr>
        <sz val="11"/>
        <color theme="1"/>
        <rFont val="WenQuanYi Zen Hei"/>
        <family val="2"/>
      </rPr>
      <t xml:space="preserve">사원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선임</t>
    </r>
  </si>
  <si>
    <r>
      <rPr>
        <sz val="11"/>
        <color theme="1"/>
        <rFont val="WenQuanYi Zen Hei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목</t>
    </r>
    <r>
      <rPr>
        <sz val="11"/>
        <color theme="1"/>
        <rFont val="Calibri"/>
        <family val="2"/>
        <charset val="1"/>
      </rPr>
      <t xml:space="preserve">), 40</t>
    </r>
    <r>
      <rPr>
        <sz val="11"/>
        <color theme="1"/>
        <rFont val="WenQuanYi Zen Hei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 </t>
    </r>
    <r>
      <rPr>
        <sz val="11"/>
        <color theme="1"/>
        <rFont val="Calibri"/>
        <family val="2"/>
        <charset val="1"/>
      </rPr>
      <t xml:space="preserve">8H)</t>
    </r>
  </si>
  <si>
    <t xml:space="preserve">22:00 ~ 07:00</t>
  </si>
  <si>
    <t xml:space="preserve">02:00 ~ 03:00</t>
  </si>
  <si>
    <r>
      <rPr>
        <sz val="11"/>
        <color theme="1"/>
        <rFont val="WenQuanYi Zen Hei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금</t>
    </r>
    <r>
      <rPr>
        <sz val="11"/>
        <color theme="1"/>
        <rFont val="Calibri"/>
        <family val="2"/>
        <charset val="1"/>
      </rPr>
      <t xml:space="preserve">), 25</t>
    </r>
    <r>
      <rPr>
        <sz val="11"/>
        <color theme="1"/>
        <rFont val="WenQuanYi Zen Hei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 </t>
    </r>
    <r>
      <rPr>
        <sz val="11"/>
        <color theme="1"/>
        <rFont val="Calibri"/>
        <family val="2"/>
        <charset val="1"/>
      </rPr>
      <t xml:space="preserve">5H)</t>
    </r>
  </si>
  <si>
    <t xml:space="preserve">09:00 ~ 14:30</t>
  </si>
  <si>
    <t xml:space="preserve">12:00 ~ 12:30</t>
  </si>
  <si>
    <t xml:space="preserve">채팅상담 사원</t>
  </si>
  <si>
    <t xml:space="preserve">채팅상담</t>
  </si>
  <si>
    <r>
      <rPr>
        <sz val="11"/>
        <color theme="1"/>
        <rFont val="WenQuanYi Zen Hei"/>
        <family val="2"/>
      </rPr>
      <t xml:space="preserve">주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WenQuanYi Zen Hei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~</t>
    </r>
    <r>
      <rPr>
        <sz val="11"/>
        <color theme="1"/>
        <rFont val="WenQuanYi Zen Hei"/>
        <family val="2"/>
      </rPr>
      <t xml:space="preserve">금</t>
    </r>
    <r>
      <rPr>
        <sz val="11"/>
        <color theme="1"/>
        <rFont val="Calibri"/>
        <family val="2"/>
        <charset val="1"/>
      </rPr>
      <t xml:space="preserve">), 20</t>
    </r>
    <r>
      <rPr>
        <sz val="11"/>
        <color theme="1"/>
        <rFont val="WenQuanYi Zen Hei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일 </t>
    </r>
    <r>
      <rPr>
        <sz val="11"/>
        <color theme="1"/>
        <rFont val="Calibri"/>
        <family val="2"/>
        <charset val="1"/>
      </rPr>
      <t xml:space="preserve">4H)</t>
    </r>
  </si>
  <si>
    <t xml:space="preserve">09:00 ~ 13:00</t>
  </si>
  <si>
    <t xml:space="preserve">-</t>
  </si>
  <si>
    <t xml:space="preserve">10:00 ~ 19:00</t>
  </si>
  <si>
    <t xml:space="preserve">13:00 ~ 14:00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</si>
</sst>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WenQuanYi Zen He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4" customFormat="false" ht="15" hidden="false" customHeight="false" outlineLevel="0" collapsed="false">
      <c r="A4" s="0" t="s">
        <v>1</v>
      </c>
      <c r="S4" s="0" t="s">
        <v>2</v>
      </c>
    </row>
    <row r="6" customFormat="false" ht="15" hidden="false" customHeight="false" outlineLevel="0" collapsed="false">
      <c r="A6" s="1" t="s">
        <v>3</v>
      </c>
      <c r="D6" s="1" t="s">
        <v>4</v>
      </c>
      <c r="H6" s="1" t="s">
        <v>5</v>
      </c>
      <c r="K6" s="0" t="n">
        <v>46023</v>
      </c>
    </row>
    <row r="7" customFormat="false" ht="15" hidden="false" customHeight="false" outlineLevel="0" collapsed="false">
      <c r="A7" s="1" t="s">
        <v>6</v>
      </c>
      <c r="D7" s="0" t="s">
        <v>7</v>
      </c>
      <c r="H7" s="1" t="s">
        <v>8</v>
      </c>
      <c r="K7" s="1" t="s">
        <v>9</v>
      </c>
    </row>
    <row r="9" customFormat="false" ht="15" hidden="false" customHeight="false" outlineLevel="0" collapsed="false">
      <c r="A9" s="0" t="s">
        <v>10</v>
      </c>
    </row>
    <row r="11" customFormat="false" ht="15" hidden="false" customHeight="false" outlineLevel="0" collapsed="false">
      <c r="A11" s="1" t="s">
        <v>11</v>
      </c>
      <c r="D11" s="0" t="s">
        <v>12</v>
      </c>
    </row>
    <row r="12" customFormat="false" ht="15" hidden="false" customHeight="false" outlineLevel="0" collapsed="false">
      <c r="A12" s="1" t="s">
        <v>13</v>
      </c>
      <c r="D12" s="1" t="s">
        <v>14</v>
      </c>
      <c r="H12" s="1" t="s">
        <v>15</v>
      </c>
      <c r="K12" s="1" t="s">
        <v>16</v>
      </c>
    </row>
    <row r="14" customFormat="false" ht="15" hidden="false" customHeight="false" outlineLevel="0" collapsed="false">
      <c r="A14" s="0" t="s">
        <v>17</v>
      </c>
    </row>
    <row r="15" customFormat="false" ht="15" hidden="false" customHeight="false" outlineLevel="0" collapsed="false">
      <c r="A15" s="1" t="s">
        <v>18</v>
      </c>
      <c r="B15" s="1" t="s">
        <v>19</v>
      </c>
      <c r="E15" s="1" t="s">
        <v>20</v>
      </c>
      <c r="H15" s="1" t="s">
        <v>21</v>
      </c>
      <c r="S15" s="1" t="s">
        <v>22</v>
      </c>
    </row>
    <row r="16" customFormat="false" ht="15" hidden="false" customHeight="false" outlineLevel="0" collapsed="false">
      <c r="A16" s="1" t="s">
        <v>23</v>
      </c>
      <c r="B16" s="1" t="s">
        <v>24</v>
      </c>
      <c r="E16" s="1" t="s">
        <v>25</v>
      </c>
    </row>
    <row r="17" customFormat="false" ht="15" hidden="false" customHeight="false" outlineLevel="0" collapsed="false">
      <c r="B17" s="1" t="s">
        <v>26</v>
      </c>
      <c r="E17" s="1" t="s">
        <v>27</v>
      </c>
    </row>
    <row r="18" customFormat="false" ht="15" hidden="false" customHeight="false" outlineLevel="0" collapsed="false">
      <c r="B18" s="1" t="s">
        <v>28</v>
      </c>
      <c r="E18" s="1" t="s">
        <v>29</v>
      </c>
    </row>
    <row r="19" customFormat="false" ht="15" hidden="false" customHeight="false" outlineLevel="0" collapsed="false">
      <c r="B19" s="1" t="s">
        <v>30</v>
      </c>
      <c r="E19" s="1" t="s">
        <v>31</v>
      </c>
    </row>
    <row r="20" customFormat="false" ht="15" hidden="false" customHeight="false" outlineLevel="0" collapsed="false">
      <c r="A20" s="1" t="s">
        <v>32</v>
      </c>
      <c r="B20" s="1" t="s">
        <v>33</v>
      </c>
      <c r="E20" s="1" t="s">
        <v>34</v>
      </c>
    </row>
    <row r="24" customFormat="false" ht="15" hidden="false" customHeight="false" outlineLevel="0" collapsed="false">
      <c r="A24" s="0" t="s">
        <v>35</v>
      </c>
    </row>
    <row r="25" customFormat="false" ht="15" hidden="false" customHeight="false" outlineLevel="0" collapsed="false">
      <c r="A25" s="1" t="s">
        <v>18</v>
      </c>
      <c r="B25" s="1" t="s">
        <v>36</v>
      </c>
      <c r="D25" s="1" t="s">
        <v>37</v>
      </c>
    </row>
    <row r="26" customFormat="false" ht="15" hidden="false" customHeight="false" outlineLevel="0" collapsed="false">
      <c r="B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44</v>
      </c>
      <c r="J26" s="1" t="s">
        <v>45</v>
      </c>
      <c r="K26" s="1" t="s">
        <v>46</v>
      </c>
      <c r="L26" s="1" t="s">
        <v>47</v>
      </c>
      <c r="M26" s="1" t="s">
        <v>48</v>
      </c>
      <c r="N26" s="1" t="s">
        <v>49</v>
      </c>
    </row>
    <row r="27" customFormat="false" ht="15" hidden="false" customHeight="false" outlineLevel="0" collapsed="false">
      <c r="A27" s="1" t="s">
        <v>22</v>
      </c>
      <c r="D27" s="0" t="n">
        <v>4</v>
      </c>
      <c r="E27" s="0" t="n">
        <v>30</v>
      </c>
      <c r="F27" s="0" t="n">
        <v>18</v>
      </c>
      <c r="G27" s="0" t="n">
        <v>12</v>
      </c>
      <c r="H27" s="0" t="n">
        <v>6</v>
      </c>
      <c r="I27" s="0" t="n">
        <v>10</v>
      </c>
      <c r="J27" s="0" t="n">
        <v>8</v>
      </c>
      <c r="K27" s="0" t="n">
        <v>4</v>
      </c>
      <c r="L27" s="0" t="n">
        <v>8</v>
      </c>
      <c r="M27" s="0" t="n">
        <v>4</v>
      </c>
      <c r="N27" s="0" t="n">
        <v>6</v>
      </c>
    </row>
    <row r="28" customFormat="false" ht="15" hidden="false" customHeight="false" outlineLevel="0" collapsed="false">
      <c r="A28" s="1" t="s">
        <v>18</v>
      </c>
      <c r="B28" s="1" t="s">
        <v>36</v>
      </c>
      <c r="D28" s="0" t="s">
        <v>50</v>
      </c>
    </row>
    <row r="29" customFormat="false" ht="15" hidden="false" customHeight="false" outlineLevel="0" collapsed="false">
      <c r="B29" s="1" t="s">
        <v>38</v>
      </c>
      <c r="D29" s="1" t="s">
        <v>51</v>
      </c>
      <c r="E29" s="1" t="s">
        <v>28</v>
      </c>
      <c r="F29" s="1" t="s">
        <v>52</v>
      </c>
      <c r="G29" s="1" t="s">
        <v>26</v>
      </c>
      <c r="H29" s="1" t="s">
        <v>24</v>
      </c>
    </row>
    <row r="30" customFormat="false" ht="15" hidden="false" customHeight="false" outlineLevel="0" collapsed="false">
      <c r="A30" s="1" t="s">
        <v>22</v>
      </c>
      <c r="D30" s="0" t="n">
        <v>3</v>
      </c>
      <c r="E30" s="0" t="n">
        <v>4</v>
      </c>
      <c r="F30" s="0" t="n">
        <v>2</v>
      </c>
      <c r="G30" s="0" t="n">
        <v>1</v>
      </c>
      <c r="H30" s="0" t="n">
        <v>1</v>
      </c>
    </row>
    <row r="32" customFormat="false" ht="15" hidden="false" customHeight="false" outlineLevel="0" collapsed="false">
      <c r="A32" s="0" t="s">
        <v>53</v>
      </c>
      <c r="R32" s="0" t="s">
        <v>54</v>
      </c>
    </row>
    <row r="33" customFormat="false" ht="15" hidden="false" customHeight="false" outlineLevel="0" collapsed="false">
      <c r="A33" s="1" t="s">
        <v>18</v>
      </c>
      <c r="D33" s="1" t="s">
        <v>55</v>
      </c>
      <c r="I33" s="1" t="s">
        <v>56</v>
      </c>
      <c r="L33" s="1" t="s">
        <v>57</v>
      </c>
      <c r="N33" s="1" t="s">
        <v>58</v>
      </c>
      <c r="S33" s="1" t="s">
        <v>59</v>
      </c>
    </row>
    <row r="34" customFormat="false" ht="15" hidden="false" customHeight="false" outlineLevel="0" collapsed="false">
      <c r="D34" s="1" t="s">
        <v>60</v>
      </c>
      <c r="E34" s="1" t="s">
        <v>61</v>
      </c>
      <c r="F34" s="1" t="s">
        <v>62</v>
      </c>
      <c r="G34" s="1" t="s">
        <v>63</v>
      </c>
      <c r="H34" s="1" t="s">
        <v>64</v>
      </c>
      <c r="I34" s="1" t="s">
        <v>61</v>
      </c>
      <c r="J34" s="1" t="s">
        <v>62</v>
      </c>
      <c r="K34" s="1" t="s">
        <v>63</v>
      </c>
      <c r="L34" s="1" t="s">
        <v>61</v>
      </c>
      <c r="M34" s="1" t="s">
        <v>63</v>
      </c>
      <c r="N34" s="1" t="s">
        <v>61</v>
      </c>
    </row>
    <row r="35" customFormat="false" ht="15" hidden="false" customHeight="false" outlineLevel="0" collapsed="false">
      <c r="A35" s="1" t="s">
        <v>65</v>
      </c>
      <c r="D35" s="0" t="n">
        <f aca="false">10030*209</f>
        <v>2096270</v>
      </c>
      <c r="E35" s="0" t="n">
        <f aca="false">10030*209</f>
        <v>2096270</v>
      </c>
      <c r="F35" s="0" t="n">
        <f aca="false">10030*209</f>
        <v>2096270</v>
      </c>
      <c r="G35" s="0" t="n">
        <f aca="false">10030*209</f>
        <v>2096270</v>
      </c>
      <c r="H35" s="0" t="n">
        <f aca="false">10030*209</f>
        <v>2096270</v>
      </c>
      <c r="I35" s="0" t="n">
        <f aca="false">10030*209</f>
        <v>2096270</v>
      </c>
      <c r="J35" s="0" t="n">
        <f aca="false">10030*209</f>
        <v>2096270</v>
      </c>
      <c r="K35" s="0" t="n">
        <f aca="false">10030*209</f>
        <v>2096270</v>
      </c>
      <c r="L35" s="0" t="n">
        <f aca="false">10030*209</f>
        <v>2096270</v>
      </c>
      <c r="M35" s="0" t="n">
        <f aca="false">10030*209</f>
        <v>2096270</v>
      </c>
      <c r="N35" s="0" t="n">
        <f aca="false">10030*130</f>
        <v>1303900</v>
      </c>
    </row>
    <row r="36" customFormat="false" ht="15" hidden="false" customHeight="false" outlineLevel="0" collapsed="false">
      <c r="A36" s="1" t="s">
        <v>66</v>
      </c>
    </row>
    <row r="37" customFormat="false" ht="15" hidden="false" customHeight="false" outlineLevel="0" collapsed="false">
      <c r="A37" s="1" t="s">
        <v>67</v>
      </c>
      <c r="I37" s="0" t="n">
        <v>30000</v>
      </c>
      <c r="J37" s="0" t="n">
        <v>30000</v>
      </c>
      <c r="K37" s="0" t="n">
        <v>30000</v>
      </c>
      <c r="L37" s="0" t="n">
        <v>50000</v>
      </c>
      <c r="M37" s="0" t="n">
        <v>50000</v>
      </c>
    </row>
    <row r="38" customFormat="false" ht="15" hidden="false" customHeight="false" outlineLevel="0" collapsed="false">
      <c r="A38" s="1" t="s">
        <v>68</v>
      </c>
      <c r="F38" s="0" t="n">
        <v>20000</v>
      </c>
      <c r="G38" s="0" t="n">
        <v>40000</v>
      </c>
      <c r="H38" s="0" t="n">
        <v>60000</v>
      </c>
      <c r="J38" s="0" t="n">
        <v>20000</v>
      </c>
      <c r="K38" s="0" t="n">
        <v>40000</v>
      </c>
      <c r="M38" s="0" t="n">
        <v>40000</v>
      </c>
    </row>
    <row r="39" customFormat="false" ht="15" hidden="false" customHeight="false" outlineLevel="0" collapsed="false">
      <c r="A39" s="1" t="s">
        <v>69</v>
      </c>
      <c r="D39" s="0" t="n">
        <v>150000</v>
      </c>
      <c r="E39" s="0" t="n">
        <v>150000</v>
      </c>
      <c r="F39" s="0" t="n">
        <v>150000</v>
      </c>
      <c r="G39" s="0" t="n">
        <v>150000</v>
      </c>
      <c r="H39" s="0" t="n">
        <v>150000</v>
      </c>
      <c r="I39" s="0" t="n">
        <v>150000</v>
      </c>
      <c r="J39" s="0" t="n">
        <v>150000</v>
      </c>
      <c r="K39" s="0" t="n">
        <v>150000</v>
      </c>
      <c r="L39" s="0" t="n">
        <v>150000</v>
      </c>
      <c r="M39" s="0" t="n">
        <v>150000</v>
      </c>
      <c r="N39" s="0" t="n">
        <v>150000</v>
      </c>
    </row>
    <row r="40" customFormat="false" ht="15" hidden="false" customHeight="false" outlineLevel="0" collapsed="false">
      <c r="A40" s="1" t="s">
        <v>70</v>
      </c>
    </row>
    <row r="41" customFormat="false" ht="15" hidden="false" customHeight="false" outlineLevel="0" collapsed="false">
      <c r="A41" s="1" t="s">
        <v>71</v>
      </c>
      <c r="D41" s="0" t="n">
        <f aca="false">SUM(D35:D40)</f>
        <v>2246270</v>
      </c>
      <c r="E41" s="0" t="n">
        <f aca="false">SUM(E35:E40)</f>
        <v>2246270</v>
      </c>
      <c r="F41" s="0" t="n">
        <f aca="false">SUM(F35:F40)</f>
        <v>2266270</v>
      </c>
      <c r="G41" s="0" t="n">
        <f aca="false">SUM(G35:G40)</f>
        <v>2286270</v>
      </c>
      <c r="H41" s="0" t="n">
        <f aca="false">SUM(H35:H40)</f>
        <v>2306270</v>
      </c>
      <c r="I41" s="0" t="n">
        <f aca="false">SUM(I35:I40)</f>
        <v>2276270</v>
      </c>
      <c r="J41" s="0" t="n">
        <f aca="false">SUM(J35:J40)</f>
        <v>2296270</v>
      </c>
      <c r="K41" s="0" t="n">
        <f aca="false">SUM(K35:K40)</f>
        <v>2316270</v>
      </c>
      <c r="L41" s="0" t="n">
        <f aca="false">SUM(L35:L40)</f>
        <v>2296270</v>
      </c>
      <c r="M41" s="0" t="n">
        <f aca="false">SUM(M35:M40)</f>
        <v>2336270</v>
      </c>
      <c r="N41" s="0" t="n">
        <f aca="false">SUM(N35:N40)</f>
        <v>1453900</v>
      </c>
    </row>
    <row r="42" customFormat="false" ht="15" hidden="false" customHeight="false" outlineLevel="0" collapsed="false">
      <c r="A42" s="1" t="s">
        <v>72</v>
      </c>
      <c r="C42" s="0" t="s">
        <v>73</v>
      </c>
      <c r="D42" s="0" t="n">
        <v>150000</v>
      </c>
      <c r="E42" s="0" t="n">
        <v>150000</v>
      </c>
      <c r="F42" s="0" t="n">
        <v>150000</v>
      </c>
      <c r="G42" s="0" t="n">
        <v>150000</v>
      </c>
      <c r="H42" s="0" t="n">
        <v>150000</v>
      </c>
      <c r="I42" s="0" t="n">
        <v>180000</v>
      </c>
      <c r="J42" s="0" t="n">
        <v>180000</v>
      </c>
      <c r="K42" s="0" t="n">
        <v>180000</v>
      </c>
      <c r="L42" s="0" t="n">
        <v>160000</v>
      </c>
      <c r="M42" s="0" t="n">
        <v>160000</v>
      </c>
      <c r="N42" s="0" t="n">
        <v>70000</v>
      </c>
      <c r="S42" s="1" t="s">
        <v>74</v>
      </c>
    </row>
    <row r="43" customFormat="false" ht="15" hidden="false" customHeight="false" outlineLevel="0" collapsed="false">
      <c r="C43" s="0" t="s">
        <v>75</v>
      </c>
      <c r="D43" s="0" t="n">
        <v>110000</v>
      </c>
      <c r="E43" s="0" t="n">
        <v>110000</v>
      </c>
      <c r="F43" s="0" t="n">
        <v>110000</v>
      </c>
      <c r="G43" s="0" t="n">
        <v>110000</v>
      </c>
      <c r="H43" s="0" t="n">
        <v>110000</v>
      </c>
      <c r="I43" s="0" t="n">
        <v>130000</v>
      </c>
      <c r="J43" s="0" t="n">
        <v>130000</v>
      </c>
      <c r="K43" s="0" t="n">
        <v>130000</v>
      </c>
      <c r="L43" s="0" t="n">
        <v>120000</v>
      </c>
      <c r="M43" s="0" t="n">
        <v>120000</v>
      </c>
      <c r="N43" s="0" t="n">
        <v>50000</v>
      </c>
    </row>
    <row r="44" customFormat="false" ht="15" hidden="false" customHeight="false" outlineLevel="0" collapsed="false">
      <c r="C44" s="0" t="s">
        <v>76</v>
      </c>
      <c r="D44" s="0" t="n">
        <v>80000</v>
      </c>
      <c r="E44" s="0" t="n">
        <v>80000</v>
      </c>
      <c r="F44" s="0" t="n">
        <v>80000</v>
      </c>
      <c r="G44" s="0" t="n">
        <v>80000</v>
      </c>
      <c r="H44" s="0" t="n">
        <v>80000</v>
      </c>
      <c r="I44" s="0" t="n">
        <v>90000</v>
      </c>
      <c r="J44" s="0" t="n">
        <v>90000</v>
      </c>
      <c r="K44" s="0" t="n">
        <v>90000</v>
      </c>
      <c r="L44" s="0" t="n">
        <v>90000</v>
      </c>
      <c r="M44" s="0" t="n">
        <v>90000</v>
      </c>
      <c r="N44" s="0" t="n">
        <v>30000</v>
      </c>
    </row>
    <row r="45" customFormat="false" ht="15" hidden="false" customHeight="false" outlineLevel="0" collapsed="false">
      <c r="C45" s="0" t="s">
        <v>77</v>
      </c>
      <c r="D45" s="0" t="n">
        <v>40000</v>
      </c>
      <c r="E45" s="0" t="n">
        <v>40000</v>
      </c>
      <c r="F45" s="0" t="n">
        <v>40000</v>
      </c>
      <c r="G45" s="0" t="n">
        <v>40000</v>
      </c>
      <c r="H45" s="0" t="n">
        <v>40000</v>
      </c>
      <c r="I45" s="0" t="n">
        <v>50000</v>
      </c>
      <c r="J45" s="0" t="n">
        <v>50000</v>
      </c>
      <c r="K45" s="0" t="n">
        <v>50000</v>
      </c>
      <c r="L45" s="0" t="n">
        <v>40000</v>
      </c>
      <c r="M45" s="0" t="n">
        <v>40000</v>
      </c>
      <c r="N45" s="0" t="n">
        <v>10000</v>
      </c>
    </row>
    <row r="46" customFormat="false" ht="15" hidden="false" customHeight="false" outlineLevel="0" collapsed="false">
      <c r="C46" s="0" t="s">
        <v>78</v>
      </c>
      <c r="D46" s="0" t="n">
        <v>10000</v>
      </c>
      <c r="E46" s="0" t="n">
        <v>10000</v>
      </c>
      <c r="F46" s="0" t="n">
        <v>10000</v>
      </c>
      <c r="G46" s="0" t="n">
        <v>10000</v>
      </c>
      <c r="H46" s="0" t="n">
        <v>10000</v>
      </c>
      <c r="I46" s="0" t="n">
        <v>20000</v>
      </c>
      <c r="J46" s="0" t="n">
        <v>20000</v>
      </c>
      <c r="K46" s="0" t="n">
        <v>20000</v>
      </c>
      <c r="L46" s="0" t="n">
        <v>10000</v>
      </c>
      <c r="M46" s="0" t="n">
        <v>10000</v>
      </c>
      <c r="N46" s="0" t="n">
        <v>0</v>
      </c>
    </row>
    <row r="47" customFormat="false" ht="15" hidden="false" customHeight="false" outlineLevel="0" collapsed="false">
      <c r="C47" s="0" t="s">
        <v>79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1" t="s">
        <v>80</v>
      </c>
      <c r="E48" s="0" t="n">
        <f aca="false">ROUNDUP(E53*4,-1)</f>
        <v>64490</v>
      </c>
      <c r="F48" s="0" t="n">
        <f aca="false">ROUNDUP(F53*4,-1)</f>
        <v>65070</v>
      </c>
      <c r="G48" s="0" t="n">
        <f aca="false">ROUNDUP(G53*4,-1)</f>
        <v>65640</v>
      </c>
      <c r="H48" s="0" t="n">
        <f aca="false">ROUNDUP(H53*4,-1)</f>
        <v>66210</v>
      </c>
      <c r="I48" s="0" t="n">
        <f aca="false">ROUNDUP(I53*4,-1)</f>
        <v>65350</v>
      </c>
      <c r="J48" s="0" t="n">
        <f aca="false">ROUNDUP(J53*4,-1)</f>
        <v>65930</v>
      </c>
      <c r="K48" s="0" t="n">
        <f aca="false">ROUNDUP(K53*4,-1)</f>
        <v>66500</v>
      </c>
      <c r="S48" s="1" t="s">
        <v>81</v>
      </c>
    </row>
    <row r="49" customFormat="false" ht="15" hidden="false" customHeight="false" outlineLevel="0" collapsed="false">
      <c r="A49" s="1" t="s">
        <v>82</v>
      </c>
      <c r="L49" s="0" t="n">
        <f aca="false">ROUNDUP(L55*40,-1)</f>
        <v>219740</v>
      </c>
      <c r="M49" s="0" t="n">
        <f aca="false">ROUNDUP(M55*40,-1)</f>
        <v>223570</v>
      </c>
    </row>
    <row r="50" customFormat="false" ht="15" hidden="false" customHeight="false" outlineLevel="0" collapsed="false">
      <c r="A50" s="1" t="s">
        <v>83</v>
      </c>
    </row>
    <row r="51" customFormat="false" ht="15" hidden="false" customHeight="false" outlineLevel="0" collapsed="false">
      <c r="A51" s="1" t="s">
        <v>84</v>
      </c>
      <c r="D51" s="0" t="n">
        <f aca="false">D41+D44+SUM(D48:D50)</f>
        <v>2326270</v>
      </c>
      <c r="E51" s="0" t="n">
        <f aca="false">E41+E44+SUM(E48:E50)</f>
        <v>2390760</v>
      </c>
      <c r="F51" s="0" t="n">
        <f aca="false">F41+F44+SUM(F48:F50)</f>
        <v>2411340</v>
      </c>
      <c r="G51" s="0" t="n">
        <f aca="false">G41+G44+SUM(G48:G50)</f>
        <v>2431910</v>
      </c>
      <c r="H51" s="0" t="n">
        <f aca="false">H41+H44+SUM(H48:H50)</f>
        <v>2452480</v>
      </c>
      <c r="I51" s="0" t="n">
        <f aca="false">I41+I44+SUM(I48:I50)</f>
        <v>2431620</v>
      </c>
      <c r="J51" s="0" t="n">
        <f aca="false">J41+J44+SUM(J48:J50)</f>
        <v>2452200</v>
      </c>
      <c r="K51" s="0" t="n">
        <f aca="false">K41+K44+SUM(K48:K50)</f>
        <v>2472770</v>
      </c>
      <c r="L51" s="0" t="n">
        <f aca="false">L41+L44+SUM(L48:L50)</f>
        <v>2606010</v>
      </c>
      <c r="M51" s="0" t="n">
        <f aca="false">M41+M44+SUM(M48:M50)</f>
        <v>2649840</v>
      </c>
      <c r="N51" s="0" t="n">
        <f aca="false">N41+N44+SUM(N48:N50)</f>
        <v>1483900</v>
      </c>
      <c r="S51" s="0" t="s">
        <v>85</v>
      </c>
    </row>
    <row r="52" customFormat="false" ht="15" hidden="false" customHeight="false" outlineLevel="0" collapsed="false">
      <c r="A52" s="1" t="s">
        <v>86</v>
      </c>
      <c r="D52" s="0" t="n">
        <f aca="false">D41/209*8</f>
        <v>85981.6267942584</v>
      </c>
      <c r="E52" s="0" t="n">
        <f aca="false">E41/209*8</f>
        <v>85981.6267942584</v>
      </c>
      <c r="F52" s="0" t="n">
        <f aca="false">F41/209*8</f>
        <v>86747.1770334928</v>
      </c>
      <c r="G52" s="0" t="n">
        <f aca="false">G41/209*8</f>
        <v>87512.7272727273</v>
      </c>
      <c r="H52" s="0" t="n">
        <f aca="false">H41/209*8</f>
        <v>88278.2775119617</v>
      </c>
      <c r="I52" s="0" t="n">
        <f aca="false">I41/209*8</f>
        <v>87129.9521531101</v>
      </c>
      <c r="J52" s="0" t="n">
        <f aca="false">J41/209*8</f>
        <v>87895.5023923445</v>
      </c>
      <c r="K52" s="0" t="n">
        <f aca="false">K41/209*8</f>
        <v>88661.052631579</v>
      </c>
      <c r="L52" s="0" t="n">
        <f aca="false">L41/209*8</f>
        <v>87895.5023923445</v>
      </c>
      <c r="M52" s="0" t="n">
        <f aca="false">M41/209*8</f>
        <v>89426.6028708134</v>
      </c>
      <c r="N52" s="0" t="n">
        <f aca="false">N41/130*8</f>
        <v>89470.7692307692</v>
      </c>
    </row>
    <row r="53" customFormat="false" ht="15" hidden="false" customHeight="false" outlineLevel="0" collapsed="false">
      <c r="A53" s="1" t="s">
        <v>87</v>
      </c>
      <c r="D53" s="0" t="n">
        <f aca="false">D41/209*1.5</f>
        <v>16121.5550239234</v>
      </c>
      <c r="E53" s="0" t="n">
        <f aca="false">E41/209*1.5</f>
        <v>16121.5550239234</v>
      </c>
      <c r="F53" s="0" t="n">
        <f aca="false">F41/209*1.5</f>
        <v>16265.0956937799</v>
      </c>
      <c r="G53" s="0" t="n">
        <f aca="false">G41/209*1.5</f>
        <v>16408.6363636364</v>
      </c>
      <c r="H53" s="0" t="n">
        <f aca="false">H41/209*1.5</f>
        <v>16552.1770334928</v>
      </c>
      <c r="I53" s="0" t="n">
        <f aca="false">I41/209*1.5</f>
        <v>16336.8660287081</v>
      </c>
      <c r="J53" s="0" t="n">
        <f aca="false">J41/209*1.5</f>
        <v>16480.4066985646</v>
      </c>
      <c r="K53" s="0" t="n">
        <f aca="false">K41/209*1.5</f>
        <v>16623.9473684211</v>
      </c>
      <c r="L53" s="0" t="n">
        <f aca="false">L41/209*1.5</f>
        <v>16480.4066985646</v>
      </c>
      <c r="M53" s="0" t="n">
        <f aca="false">M41/209*1.5</f>
        <v>16767.4880382775</v>
      </c>
      <c r="N53" s="0" t="n">
        <f aca="false">N41/130*1.5</f>
        <v>16775.7692307692</v>
      </c>
    </row>
    <row r="54" customFormat="false" ht="15" hidden="false" customHeight="false" outlineLevel="0" collapsed="false">
      <c r="A54" s="1" t="s">
        <v>88</v>
      </c>
      <c r="D54" s="0" t="n">
        <f aca="false">D41/209*1.5</f>
        <v>16121.5550239234</v>
      </c>
      <c r="E54" s="0" t="n">
        <f aca="false">E41/209*1.5</f>
        <v>16121.5550239234</v>
      </c>
      <c r="F54" s="0" t="n">
        <f aca="false">F41/209*1.5</f>
        <v>16265.0956937799</v>
      </c>
      <c r="G54" s="0" t="n">
        <f aca="false">G41/209*1.5</f>
        <v>16408.6363636364</v>
      </c>
      <c r="H54" s="0" t="n">
        <f aca="false">H41/209*1.5</f>
        <v>16552.1770334928</v>
      </c>
      <c r="I54" s="0" t="n">
        <f aca="false">I41/209*1.5</f>
        <v>16336.8660287081</v>
      </c>
      <c r="J54" s="0" t="n">
        <f aca="false">J41/209*1.5</f>
        <v>16480.4066985646</v>
      </c>
      <c r="K54" s="0" t="n">
        <f aca="false">K41/209*1.5</f>
        <v>16623.9473684211</v>
      </c>
      <c r="L54" s="0" t="n">
        <f aca="false">L41/209*1.5</f>
        <v>16480.4066985646</v>
      </c>
      <c r="M54" s="0" t="n">
        <f aca="false">M41/209*1.5</f>
        <v>16767.4880382775</v>
      </c>
      <c r="N54" s="0" t="n">
        <f aca="false">N41/130*1.5</f>
        <v>16775.7692307692</v>
      </c>
    </row>
    <row r="55" customFormat="false" ht="15" hidden="false" customHeight="false" outlineLevel="0" collapsed="false">
      <c r="A55" s="1" t="s">
        <v>89</v>
      </c>
      <c r="D55" s="0" t="n">
        <f aca="false">D41/209*0.5</f>
        <v>5373.85167464115</v>
      </c>
      <c r="E55" s="0" t="n">
        <f aca="false">E41/209*0.5</f>
        <v>5373.85167464115</v>
      </c>
      <c r="F55" s="0" t="n">
        <f aca="false">F41/209*0.5</f>
        <v>5421.6985645933</v>
      </c>
      <c r="G55" s="0" t="n">
        <f aca="false">G41/209*0.5</f>
        <v>5469.54545454546</v>
      </c>
      <c r="H55" s="0" t="n">
        <f aca="false">H41/209*0.5</f>
        <v>5517.39234449761</v>
      </c>
      <c r="I55" s="0" t="n">
        <f aca="false">I41/209*0.5</f>
        <v>5445.62200956938</v>
      </c>
      <c r="J55" s="0" t="n">
        <f aca="false">J41/209*0.5</f>
        <v>5493.46889952153</v>
      </c>
      <c r="K55" s="0" t="n">
        <f aca="false">K41/209*0.5</f>
        <v>5541.31578947368</v>
      </c>
      <c r="L55" s="0" t="n">
        <f aca="false">L41/209*0.5</f>
        <v>5493.46889952153</v>
      </c>
      <c r="M55" s="0" t="n">
        <f aca="false">M41/209*0.5</f>
        <v>5589.16267942584</v>
      </c>
      <c r="N55" s="0" t="n">
        <f aca="false">N41/130*0.5</f>
        <v>5591.92307692308</v>
      </c>
    </row>
    <row r="56" customFormat="false" ht="15" hidden="false" customHeight="false" outlineLevel="0" collapsed="false">
      <c r="A56" s="1" t="s">
        <v>90</v>
      </c>
      <c r="D56" s="0" t="n">
        <f aca="false">D51*12</f>
        <v>27915240</v>
      </c>
      <c r="E56" s="0" t="n">
        <f aca="false">E51*12</f>
        <v>28689120</v>
      </c>
      <c r="F56" s="0" t="n">
        <f aca="false">F51*12</f>
        <v>28936080</v>
      </c>
      <c r="G56" s="0" t="n">
        <f aca="false">G51*12</f>
        <v>29182920</v>
      </c>
      <c r="H56" s="0" t="n">
        <f aca="false">H51*12</f>
        <v>29429760</v>
      </c>
      <c r="I56" s="0" t="n">
        <f aca="false">I51*12</f>
        <v>29179440</v>
      </c>
      <c r="J56" s="0" t="n">
        <f aca="false">J51*12</f>
        <v>29426400</v>
      </c>
      <c r="K56" s="0" t="n">
        <f aca="false">K51*12</f>
        <v>29673240</v>
      </c>
      <c r="L56" s="0" t="n">
        <f aca="false">L51*12</f>
        <v>31272120</v>
      </c>
      <c r="M56" s="0" t="n">
        <f aca="false">M51*12</f>
        <v>31798080</v>
      </c>
      <c r="N56" s="0" t="n">
        <f aca="false">N51*12</f>
        <v>17806800</v>
      </c>
    </row>
    <row r="63" customFormat="false" ht="15" hidden="false" customHeight="false" outlineLevel="0" collapsed="false">
      <c r="A63" s="1" t="s">
        <v>91</v>
      </c>
      <c r="R63" s="0" t="s">
        <v>54</v>
      </c>
    </row>
    <row r="64" customFormat="false" ht="15" hidden="false" customHeight="false" outlineLevel="0" collapsed="false">
      <c r="A64" s="1" t="s">
        <v>18</v>
      </c>
      <c r="D64" s="0" t="s">
        <v>50</v>
      </c>
      <c r="G64" s="0" t="s">
        <v>92</v>
      </c>
      <c r="S64" s="1" t="s">
        <v>59</v>
      </c>
    </row>
    <row r="65" customFormat="false" ht="15" hidden="false" customHeight="false" outlineLevel="0" collapsed="false">
      <c r="D65" s="1" t="s">
        <v>51</v>
      </c>
      <c r="E65" s="1" t="s">
        <v>28</v>
      </c>
      <c r="F65" s="1" t="s">
        <v>52</v>
      </c>
      <c r="G65" s="1" t="s">
        <v>26</v>
      </c>
      <c r="H65" s="1" t="s">
        <v>24</v>
      </c>
    </row>
    <row r="66" customFormat="false" ht="15" hidden="false" customHeight="false" outlineLevel="0" collapsed="false">
      <c r="A66" s="1" t="s">
        <v>65</v>
      </c>
      <c r="D66" s="0" t="n">
        <f aca="false">10030*209</f>
        <v>2096270</v>
      </c>
      <c r="E66" s="0" t="n">
        <f aca="false">10030*209</f>
        <v>2096270</v>
      </c>
      <c r="F66" s="0" t="n">
        <f aca="false">10030*209</f>
        <v>2096270</v>
      </c>
      <c r="G66" s="0" t="n">
        <f aca="false">10030*209</f>
        <v>2096270</v>
      </c>
      <c r="H66" s="0" t="n">
        <f aca="false">10030*209</f>
        <v>2096270</v>
      </c>
    </row>
    <row r="67" customFormat="false" ht="15" hidden="false" customHeight="false" outlineLevel="0" collapsed="false">
      <c r="A67" s="1" t="s">
        <v>66</v>
      </c>
      <c r="D67" s="0" t="n">
        <v>100000</v>
      </c>
      <c r="E67" s="0" t="n">
        <v>200000</v>
      </c>
      <c r="F67" s="0" t="n">
        <v>100000</v>
      </c>
      <c r="G67" s="0" t="n">
        <v>300000</v>
      </c>
      <c r="H67" s="0" t="n">
        <v>500000</v>
      </c>
    </row>
    <row r="68" customFormat="false" ht="15" hidden="false" customHeight="false" outlineLevel="0" collapsed="false">
      <c r="A68" s="1" t="s">
        <v>67</v>
      </c>
      <c r="D68" s="0" t="n">
        <v>100000</v>
      </c>
      <c r="E68" s="0" t="n">
        <v>150000</v>
      </c>
      <c r="F68" s="0" t="n">
        <v>100000</v>
      </c>
      <c r="G68" s="0" t="n">
        <v>200000</v>
      </c>
      <c r="H68" s="0" t="n">
        <v>300000</v>
      </c>
    </row>
    <row r="69" customFormat="false" ht="15" hidden="false" customHeight="false" outlineLevel="0" collapsed="false">
      <c r="A69" s="1" t="s">
        <v>68</v>
      </c>
      <c r="D69" s="0" t="n">
        <v>30000</v>
      </c>
      <c r="E69" s="0" t="n">
        <v>50000</v>
      </c>
      <c r="F69" s="0" t="n">
        <v>30000</v>
      </c>
      <c r="G69" s="0" t="n">
        <v>60000</v>
      </c>
      <c r="H69" s="0" t="n">
        <v>80000</v>
      </c>
    </row>
    <row r="70" customFormat="false" ht="15" hidden="false" customHeight="false" outlineLevel="0" collapsed="false">
      <c r="A70" s="1" t="s">
        <v>69</v>
      </c>
      <c r="D70" s="0" t="n">
        <v>150000</v>
      </c>
      <c r="E70" s="0" t="n">
        <v>150000</v>
      </c>
      <c r="F70" s="0" t="n">
        <v>150000</v>
      </c>
      <c r="G70" s="0" t="n">
        <v>150000</v>
      </c>
      <c r="H70" s="0" t="n">
        <v>150000</v>
      </c>
    </row>
    <row r="71" customFormat="false" ht="15" hidden="false" customHeight="false" outlineLevel="0" collapsed="false">
      <c r="A71" s="1" t="s">
        <v>70</v>
      </c>
    </row>
    <row r="72" customFormat="false" ht="15" hidden="false" customHeight="false" outlineLevel="0" collapsed="false">
      <c r="A72" s="1" t="s">
        <v>71</v>
      </c>
      <c r="D72" s="0" t="n">
        <f aca="false">SUM(D66:D71)</f>
        <v>2476270</v>
      </c>
      <c r="E72" s="0" t="n">
        <f aca="false">SUM(E66:E71)</f>
        <v>2646270</v>
      </c>
      <c r="F72" s="0" t="n">
        <f aca="false">SUM(F66:F71)</f>
        <v>2476270</v>
      </c>
      <c r="G72" s="0" t="n">
        <f aca="false">SUM(G66:G71)</f>
        <v>2806270</v>
      </c>
      <c r="H72" s="0" t="n">
        <f aca="false">SUM(H66:H71)</f>
        <v>3126270</v>
      </c>
    </row>
    <row r="73" customFormat="false" ht="15" hidden="false" customHeight="false" outlineLevel="0" collapsed="false">
      <c r="A73" s="1" t="s">
        <v>72</v>
      </c>
      <c r="C73" s="0" t="s">
        <v>73</v>
      </c>
      <c r="D73" s="0" t="n">
        <v>250000</v>
      </c>
      <c r="E73" s="0" t="n">
        <v>250000</v>
      </c>
      <c r="F73" s="0" t="n">
        <v>250000</v>
      </c>
      <c r="G73" s="0" t="n">
        <v>250000</v>
      </c>
      <c r="H73" s="0" t="n">
        <v>250000</v>
      </c>
      <c r="S73" s="1" t="s">
        <v>74</v>
      </c>
    </row>
    <row r="74" customFormat="false" ht="15" hidden="false" customHeight="false" outlineLevel="0" collapsed="false">
      <c r="C74" s="0" t="s">
        <v>75</v>
      </c>
      <c r="D74" s="0" t="n">
        <v>180000</v>
      </c>
      <c r="E74" s="0" t="n">
        <v>180000</v>
      </c>
      <c r="F74" s="0" t="n">
        <v>180000</v>
      </c>
      <c r="G74" s="0" t="n">
        <v>180000</v>
      </c>
      <c r="H74" s="0" t="n">
        <v>180000</v>
      </c>
    </row>
    <row r="75" customFormat="false" ht="15" hidden="false" customHeight="false" outlineLevel="0" collapsed="false">
      <c r="C75" s="0" t="s">
        <v>76</v>
      </c>
      <c r="D75" s="0" t="n">
        <v>120000</v>
      </c>
      <c r="E75" s="0" t="n">
        <v>120000</v>
      </c>
      <c r="F75" s="0" t="n">
        <v>120000</v>
      </c>
      <c r="G75" s="0" t="n">
        <v>120000</v>
      </c>
      <c r="H75" s="0" t="n">
        <v>120000</v>
      </c>
    </row>
    <row r="76" customFormat="false" ht="15" hidden="false" customHeight="false" outlineLevel="0" collapsed="false">
      <c r="C76" s="0" t="s">
        <v>77</v>
      </c>
      <c r="D76" s="0" t="n">
        <v>60000</v>
      </c>
      <c r="E76" s="0" t="n">
        <v>60000</v>
      </c>
      <c r="F76" s="0" t="n">
        <v>60000</v>
      </c>
      <c r="G76" s="0" t="n">
        <v>60000</v>
      </c>
      <c r="H76" s="0" t="n">
        <v>60000</v>
      </c>
    </row>
    <row r="77" customFormat="false" ht="15" hidden="false" customHeight="false" outlineLevel="0" collapsed="false">
      <c r="C77" s="0" t="s">
        <v>78</v>
      </c>
      <c r="D77" s="0" t="n">
        <v>20000</v>
      </c>
      <c r="E77" s="0" t="n">
        <v>20000</v>
      </c>
      <c r="F77" s="0" t="n">
        <v>20000</v>
      </c>
      <c r="G77" s="0" t="n">
        <v>20000</v>
      </c>
      <c r="H77" s="0" t="n">
        <v>20000</v>
      </c>
    </row>
    <row r="78" customFormat="false" ht="15" hidden="false" customHeight="false" outlineLevel="0" collapsed="false">
      <c r="C78" s="0" t="s">
        <v>79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</row>
    <row r="79" customFormat="false" ht="15" hidden="false" customHeight="false" outlineLevel="0" collapsed="false">
      <c r="A79" s="1" t="s">
        <v>80</v>
      </c>
      <c r="D79" s="0" t="n">
        <f aca="false">ROUNDUP(D84*5,-1)</f>
        <v>88870</v>
      </c>
      <c r="E79" s="0" t="n">
        <f aca="false">ROUNDUP(E84*5,-1)</f>
        <v>94970</v>
      </c>
      <c r="F79" s="0" t="n">
        <f aca="false">ROUNDUP(F84*5,-1)</f>
        <v>88870</v>
      </c>
      <c r="G79" s="0" t="n">
        <f aca="false">ROUNDUP(G84*5,-1)</f>
        <v>100710</v>
      </c>
      <c r="S79" s="1" t="s">
        <v>93</v>
      </c>
    </row>
    <row r="80" customFormat="false" ht="15" hidden="false" customHeight="false" outlineLevel="0" collapsed="false">
      <c r="A80" s="1" t="s">
        <v>82</v>
      </c>
    </row>
    <row r="81" customFormat="false" ht="15" hidden="false" customHeight="false" outlineLevel="0" collapsed="false">
      <c r="A81" s="1" t="s">
        <v>83</v>
      </c>
    </row>
    <row r="82" customFormat="false" ht="15" hidden="false" customHeight="false" outlineLevel="0" collapsed="false">
      <c r="A82" s="1" t="s">
        <v>84</v>
      </c>
      <c r="D82" s="0" t="n">
        <f aca="false">D72+D75+SUM(D79:D81)</f>
        <v>2685140</v>
      </c>
      <c r="E82" s="0" t="n">
        <f aca="false">E72+E75+SUM(E79:E81)</f>
        <v>2861240</v>
      </c>
      <c r="F82" s="0" t="n">
        <f aca="false">F72+F75+SUM(F79:F81)</f>
        <v>2685140</v>
      </c>
      <c r="G82" s="0" t="n">
        <f aca="false">G72+G75+SUM(G79:G81)</f>
        <v>3026980</v>
      </c>
      <c r="H82" s="0" t="n">
        <f aca="false">H72+H75+SUM(H79:H81)</f>
        <v>3246270</v>
      </c>
      <c r="S82" s="0" t="s">
        <v>85</v>
      </c>
    </row>
    <row r="83" customFormat="false" ht="15" hidden="false" customHeight="false" outlineLevel="0" collapsed="false">
      <c r="A83" s="1" t="s">
        <v>86</v>
      </c>
      <c r="D83" s="0" t="n">
        <f aca="false">D72/209*8</f>
        <v>94785.4545454545</v>
      </c>
      <c r="E83" s="0" t="n">
        <f aca="false">E72/209*8</f>
        <v>101292.631578947</v>
      </c>
      <c r="F83" s="0" t="n">
        <f aca="false">F72/209*8</f>
        <v>94785.4545454545</v>
      </c>
      <c r="G83" s="0" t="n">
        <f aca="false">G72/209*8</f>
        <v>107417.033492823</v>
      </c>
      <c r="H83" s="0" t="n">
        <f aca="false">H72/209*8</f>
        <v>119665.837320574</v>
      </c>
    </row>
    <row r="84" customFormat="false" ht="15" hidden="false" customHeight="false" outlineLevel="0" collapsed="false">
      <c r="A84" s="1" t="s">
        <v>87</v>
      </c>
      <c r="D84" s="0" t="n">
        <f aca="false">D72/209*1.5</f>
        <v>17772.2727272727</v>
      </c>
      <c r="E84" s="0" t="n">
        <f aca="false">E72/209*1.5</f>
        <v>18992.3684210526</v>
      </c>
      <c r="F84" s="0" t="n">
        <f aca="false">F72/209*1.5</f>
        <v>17772.2727272727</v>
      </c>
      <c r="G84" s="0" t="n">
        <f aca="false">G72/209*1.5</f>
        <v>20140.6937799043</v>
      </c>
      <c r="H84" s="0" t="n">
        <f aca="false">H72/209*1.5</f>
        <v>22437.3444976077</v>
      </c>
    </row>
    <row r="85" customFormat="false" ht="15" hidden="false" customHeight="false" outlineLevel="0" collapsed="false">
      <c r="A85" s="1" t="s">
        <v>88</v>
      </c>
      <c r="D85" s="0" t="n">
        <f aca="false">D72/209*1.5</f>
        <v>17772.2727272727</v>
      </c>
      <c r="E85" s="0" t="n">
        <f aca="false">E72/209*1.5</f>
        <v>18992.3684210526</v>
      </c>
      <c r="F85" s="0" t="n">
        <f aca="false">F72/209*1.5</f>
        <v>17772.2727272727</v>
      </c>
      <c r="G85" s="0" t="n">
        <f aca="false">G72/209*1.5</f>
        <v>20140.6937799043</v>
      </c>
      <c r="H85" s="0" t="n">
        <f aca="false">H72/209*1.5</f>
        <v>22437.3444976077</v>
      </c>
    </row>
    <row r="86" customFormat="false" ht="15" hidden="false" customHeight="false" outlineLevel="0" collapsed="false">
      <c r="A86" s="1" t="s">
        <v>89</v>
      </c>
      <c r="D86" s="0" t="n">
        <f aca="false">D72/209*0.5</f>
        <v>5924.09090909091</v>
      </c>
      <c r="E86" s="0" t="n">
        <f aca="false">E72/209*0.5</f>
        <v>6330.78947368421</v>
      </c>
      <c r="F86" s="0" t="n">
        <f aca="false">F72/209*0.5</f>
        <v>5924.09090909091</v>
      </c>
      <c r="G86" s="0" t="n">
        <f aca="false">G72/209*0.5</f>
        <v>6713.56459330144</v>
      </c>
      <c r="H86" s="0" t="n">
        <f aca="false">H72/209*0.5</f>
        <v>7479.11483253589</v>
      </c>
    </row>
    <row r="87" customFormat="false" ht="15" hidden="false" customHeight="false" outlineLevel="0" collapsed="false">
      <c r="A87" s="1" t="s">
        <v>90</v>
      </c>
      <c r="D87" s="0" t="n">
        <f aca="false">D82*12</f>
        <v>32221680</v>
      </c>
      <c r="E87" s="0" t="n">
        <f aca="false">E82*12</f>
        <v>34334880</v>
      </c>
      <c r="F87" s="0" t="n">
        <f aca="false">F82*12</f>
        <v>32221680</v>
      </c>
      <c r="G87" s="0" t="n">
        <f aca="false">G82*12</f>
        <v>36323760</v>
      </c>
      <c r="H87" s="0" t="n">
        <f aca="false">H82*12</f>
        <v>38955240</v>
      </c>
    </row>
    <row r="94" customFormat="false" ht="15" hidden="false" customHeight="false" outlineLevel="0" collapsed="false">
      <c r="A94" s="0" t="s">
        <v>94</v>
      </c>
    </row>
    <row r="95" customFormat="false" ht="15" hidden="false" customHeight="false" outlineLevel="0" collapsed="false">
      <c r="A95" s="0" t="s">
        <v>95</v>
      </c>
    </row>
    <row r="97" customFormat="false" ht="15" hidden="false" customHeight="false" outlineLevel="0" collapsed="false">
      <c r="A97" s="0" t="s">
        <v>96</v>
      </c>
    </row>
    <row r="99" customFormat="false" ht="15" hidden="false" customHeight="false" outlineLevel="0" collapsed="false">
      <c r="A99" s="0" t="s">
        <v>97</v>
      </c>
    </row>
    <row r="128" customFormat="false" ht="15" hidden="false" customHeight="false" outlineLevel="0" collapsed="false">
      <c r="A128" s="0" t="s">
        <v>98</v>
      </c>
    </row>
    <row r="129" customFormat="false" ht="15" hidden="false" customHeight="false" outlineLevel="0" collapsed="false">
      <c r="A129" s="1" t="s">
        <v>99</v>
      </c>
      <c r="B129" s="1" t="s">
        <v>100</v>
      </c>
      <c r="C129" s="1" t="s">
        <v>101</v>
      </c>
      <c r="E129" s="1" t="s">
        <v>102</v>
      </c>
      <c r="F129" s="1" t="s">
        <v>103</v>
      </c>
      <c r="G129" s="1" t="s">
        <v>104</v>
      </c>
    </row>
    <row r="130" customFormat="false" ht="15" hidden="false" customHeight="false" outlineLevel="0" collapsed="false">
      <c r="A130" s="1" t="s">
        <v>105</v>
      </c>
      <c r="B130" s="1" t="s">
        <v>105</v>
      </c>
      <c r="C130" s="1" t="s">
        <v>106</v>
      </c>
      <c r="E130" s="0" t="s">
        <v>107</v>
      </c>
      <c r="F130" s="0" t="s">
        <v>108</v>
      </c>
    </row>
    <row r="131" customFormat="false" ht="15" hidden="false" customHeight="false" outlineLevel="0" collapsed="false">
      <c r="A131" s="1" t="s">
        <v>109</v>
      </c>
      <c r="B131" s="1" t="s">
        <v>109</v>
      </c>
      <c r="C131" s="1" t="s">
        <v>106</v>
      </c>
      <c r="E131" s="0" t="s">
        <v>107</v>
      </c>
      <c r="F131" s="0" t="s">
        <v>108</v>
      </c>
    </row>
    <row r="132" customFormat="false" ht="15" hidden="false" customHeight="false" outlineLevel="0" collapsed="false">
      <c r="A132" s="1" t="s">
        <v>55</v>
      </c>
      <c r="B132" s="1" t="s">
        <v>110</v>
      </c>
      <c r="C132" s="1" t="s">
        <v>106</v>
      </c>
      <c r="E132" s="0" t="s">
        <v>107</v>
      </c>
      <c r="F132" s="0" t="s">
        <v>108</v>
      </c>
    </row>
    <row r="133" customFormat="false" ht="15" hidden="false" customHeight="false" outlineLevel="0" collapsed="false">
      <c r="A133" s="1" t="s">
        <v>56</v>
      </c>
      <c r="B133" s="1" t="s">
        <v>111</v>
      </c>
      <c r="C133" s="1" t="s">
        <v>106</v>
      </c>
      <c r="E133" s="0" t="s">
        <v>107</v>
      </c>
      <c r="F133" s="0" t="s">
        <v>108</v>
      </c>
    </row>
    <row r="134" customFormat="false" ht="15" hidden="false" customHeight="false" outlineLevel="0" collapsed="false">
      <c r="A134" s="1" t="s">
        <v>57</v>
      </c>
      <c r="B134" s="1" t="s">
        <v>112</v>
      </c>
      <c r="C134" s="1" t="s">
        <v>113</v>
      </c>
      <c r="E134" s="0" t="s">
        <v>114</v>
      </c>
      <c r="F134" s="0" t="s">
        <v>115</v>
      </c>
    </row>
    <row r="135" customFormat="false" ht="15" hidden="false" customHeight="false" outlineLevel="0" collapsed="false">
      <c r="A135" s="1" t="s">
        <v>58</v>
      </c>
      <c r="B135" s="1" t="s">
        <v>61</v>
      </c>
      <c r="C135" s="1" t="s">
        <v>116</v>
      </c>
      <c r="E135" s="0" t="s">
        <v>117</v>
      </c>
      <c r="F135" s="0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4" customFormat="false" ht="15" hidden="false" customHeight="false" outlineLevel="0" collapsed="false">
      <c r="A4" s="0" t="s">
        <v>1</v>
      </c>
      <c r="S4" s="0" t="s">
        <v>2</v>
      </c>
    </row>
    <row r="6" customFormat="false" ht="15" hidden="false" customHeight="false" outlineLevel="0" collapsed="false">
      <c r="A6" s="1" t="s">
        <v>3</v>
      </c>
      <c r="D6" s="1" t="s">
        <v>4</v>
      </c>
      <c r="H6" s="1" t="s">
        <v>5</v>
      </c>
      <c r="K6" s="0" t="n">
        <v>46023</v>
      </c>
    </row>
    <row r="7" customFormat="false" ht="15" hidden="false" customHeight="false" outlineLevel="0" collapsed="false">
      <c r="A7" s="1" t="s">
        <v>6</v>
      </c>
      <c r="D7" s="0" t="s">
        <v>7</v>
      </c>
      <c r="H7" s="1" t="s">
        <v>8</v>
      </c>
      <c r="K7" s="1" t="s">
        <v>9</v>
      </c>
    </row>
    <row r="9" customFormat="false" ht="15" hidden="false" customHeight="false" outlineLevel="0" collapsed="false">
      <c r="A9" s="0" t="s">
        <v>10</v>
      </c>
    </row>
    <row r="11" customFormat="false" ht="15" hidden="false" customHeight="false" outlineLevel="0" collapsed="false">
      <c r="A11" s="1" t="s">
        <v>11</v>
      </c>
      <c r="D11" s="0" t="s">
        <v>12</v>
      </c>
    </row>
    <row r="12" customFormat="false" ht="15" hidden="false" customHeight="false" outlineLevel="0" collapsed="false">
      <c r="A12" s="1" t="s">
        <v>13</v>
      </c>
      <c r="D12" s="1" t="s">
        <v>14</v>
      </c>
      <c r="H12" s="1" t="s">
        <v>15</v>
      </c>
      <c r="K12" s="1" t="s">
        <v>16</v>
      </c>
    </row>
    <row r="14" customFormat="false" ht="15" hidden="false" customHeight="false" outlineLevel="0" collapsed="false">
      <c r="A14" s="0" t="s">
        <v>17</v>
      </c>
    </row>
    <row r="15" customFormat="false" ht="15" hidden="false" customHeight="false" outlineLevel="0" collapsed="false">
      <c r="A15" s="1" t="s">
        <v>18</v>
      </c>
      <c r="B15" s="1" t="s">
        <v>19</v>
      </c>
      <c r="E15" s="1" t="s">
        <v>20</v>
      </c>
      <c r="H15" s="1" t="s">
        <v>21</v>
      </c>
      <c r="S15" s="1" t="s">
        <v>22</v>
      </c>
    </row>
    <row r="16" customFormat="false" ht="15" hidden="false" customHeight="false" outlineLevel="0" collapsed="false">
      <c r="A16" s="1" t="s">
        <v>23</v>
      </c>
      <c r="B16" s="1" t="s">
        <v>24</v>
      </c>
      <c r="E16" s="1" t="s">
        <v>25</v>
      </c>
    </row>
    <row r="17" customFormat="false" ht="15" hidden="false" customHeight="false" outlineLevel="0" collapsed="false">
      <c r="B17" s="1" t="s">
        <v>26</v>
      </c>
      <c r="E17" s="1" t="s">
        <v>27</v>
      </c>
    </row>
    <row r="18" customFormat="false" ht="15" hidden="false" customHeight="false" outlineLevel="0" collapsed="false">
      <c r="B18" s="1" t="s">
        <v>28</v>
      </c>
      <c r="E18" s="1" t="s">
        <v>29</v>
      </c>
    </row>
    <row r="19" customFormat="false" ht="15" hidden="false" customHeight="false" outlineLevel="0" collapsed="false">
      <c r="B19" s="1" t="s">
        <v>30</v>
      </c>
      <c r="E19" s="1" t="s">
        <v>31</v>
      </c>
    </row>
    <row r="20" customFormat="false" ht="15" hidden="false" customHeight="false" outlineLevel="0" collapsed="false">
      <c r="A20" s="1" t="s">
        <v>32</v>
      </c>
      <c r="B20" s="1" t="s">
        <v>33</v>
      </c>
      <c r="E20" s="1" t="s">
        <v>34</v>
      </c>
    </row>
    <row r="24" customFormat="false" ht="15" hidden="false" customHeight="false" outlineLevel="0" collapsed="false">
      <c r="A24" s="0" t="s">
        <v>35</v>
      </c>
    </row>
    <row r="25" customFormat="false" ht="15" hidden="false" customHeight="false" outlineLevel="0" collapsed="false">
      <c r="A25" s="1" t="s">
        <v>18</v>
      </c>
      <c r="B25" s="1" t="s">
        <v>36</v>
      </c>
      <c r="D25" s="1" t="s">
        <v>37</v>
      </c>
    </row>
    <row r="26" customFormat="false" ht="15" hidden="false" customHeight="false" outlineLevel="0" collapsed="false">
      <c r="B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44</v>
      </c>
      <c r="J26" s="1" t="s">
        <v>45</v>
      </c>
      <c r="K26" s="1" t="s">
        <v>46</v>
      </c>
      <c r="L26" s="1" t="s">
        <v>47</v>
      </c>
      <c r="M26" s="1" t="s">
        <v>48</v>
      </c>
      <c r="N26" s="1" t="s">
        <v>49</v>
      </c>
      <c r="O26" s="1" t="s">
        <v>119</v>
      </c>
    </row>
    <row r="27" customFormat="false" ht="15" hidden="false" customHeight="false" outlineLevel="0" collapsed="false">
      <c r="A27" s="1" t="s">
        <v>22</v>
      </c>
      <c r="D27" s="0" t="n">
        <v>4</v>
      </c>
      <c r="E27" s="0" t="n">
        <v>30</v>
      </c>
      <c r="F27" s="0" t="n">
        <v>18</v>
      </c>
      <c r="G27" s="0" t="n">
        <v>12</v>
      </c>
      <c r="H27" s="0" t="n">
        <v>6</v>
      </c>
      <c r="I27" s="0" t="n">
        <v>10</v>
      </c>
      <c r="J27" s="0" t="n">
        <v>8</v>
      </c>
      <c r="K27" s="0" t="n">
        <v>4</v>
      </c>
      <c r="L27" s="0" t="n">
        <v>8</v>
      </c>
      <c r="M27" s="0" t="n">
        <v>4</v>
      </c>
      <c r="N27" s="0" t="n">
        <v>6</v>
      </c>
      <c r="O27" s="0" t="n">
        <v>5</v>
      </c>
    </row>
    <row r="28" customFormat="false" ht="15" hidden="false" customHeight="false" outlineLevel="0" collapsed="false">
      <c r="A28" s="1" t="s">
        <v>18</v>
      </c>
      <c r="B28" s="1" t="s">
        <v>36</v>
      </c>
      <c r="D28" s="0" t="s">
        <v>50</v>
      </c>
    </row>
    <row r="29" customFormat="false" ht="15" hidden="false" customHeight="false" outlineLevel="0" collapsed="false">
      <c r="B29" s="1" t="s">
        <v>38</v>
      </c>
      <c r="D29" s="1" t="s">
        <v>51</v>
      </c>
      <c r="E29" s="1" t="s">
        <v>28</v>
      </c>
      <c r="F29" s="1" t="s">
        <v>52</v>
      </c>
      <c r="G29" s="1" t="s">
        <v>26</v>
      </c>
      <c r="H29" s="1" t="s">
        <v>24</v>
      </c>
    </row>
    <row r="30" customFormat="false" ht="15" hidden="false" customHeight="false" outlineLevel="0" collapsed="false">
      <c r="A30" s="1" t="s">
        <v>22</v>
      </c>
      <c r="D30" s="0" t="n">
        <v>3</v>
      </c>
      <c r="E30" s="0" t="n">
        <v>4</v>
      </c>
      <c r="F30" s="0" t="n">
        <v>2</v>
      </c>
      <c r="G30" s="0" t="n">
        <v>1</v>
      </c>
      <c r="H30" s="0" t="n">
        <v>1</v>
      </c>
    </row>
    <row r="32" customFormat="false" ht="15" hidden="false" customHeight="false" outlineLevel="0" collapsed="false">
      <c r="A32" s="0" t="s">
        <v>53</v>
      </c>
      <c r="R32" s="0" t="s">
        <v>54</v>
      </c>
    </row>
    <row r="33" customFormat="false" ht="15" hidden="false" customHeight="false" outlineLevel="0" collapsed="false">
      <c r="A33" s="1" t="s">
        <v>18</v>
      </c>
      <c r="D33" s="1" t="s">
        <v>55</v>
      </c>
      <c r="I33" s="1" t="s">
        <v>56</v>
      </c>
      <c r="L33" s="1" t="s">
        <v>57</v>
      </c>
      <c r="N33" s="1" t="s">
        <v>58</v>
      </c>
      <c r="O33" s="1" t="s">
        <v>120</v>
      </c>
      <c r="S33" s="1" t="s">
        <v>59</v>
      </c>
    </row>
    <row r="34" customFormat="false" ht="15" hidden="false" customHeight="false" outlineLevel="0" collapsed="false">
      <c r="D34" s="1" t="s">
        <v>60</v>
      </c>
      <c r="E34" s="1" t="s">
        <v>61</v>
      </c>
      <c r="F34" s="1" t="s">
        <v>62</v>
      </c>
      <c r="G34" s="1" t="s">
        <v>63</v>
      </c>
      <c r="H34" s="1" t="s">
        <v>64</v>
      </c>
      <c r="I34" s="1" t="s">
        <v>61</v>
      </c>
      <c r="J34" s="1" t="s">
        <v>62</v>
      </c>
      <c r="K34" s="1" t="s">
        <v>63</v>
      </c>
      <c r="L34" s="1" t="s">
        <v>61</v>
      </c>
      <c r="M34" s="1" t="s">
        <v>63</v>
      </c>
      <c r="N34" s="1" t="s">
        <v>61</v>
      </c>
      <c r="O34" s="1" t="s">
        <v>61</v>
      </c>
    </row>
    <row r="35" customFormat="false" ht="15" hidden="false" customHeight="false" outlineLevel="0" collapsed="false">
      <c r="A35" s="1" t="s">
        <v>65</v>
      </c>
      <c r="D35" s="0" t="n">
        <f aca="false">10320*209</f>
        <v>2156880</v>
      </c>
      <c r="E35" s="0" t="n">
        <f aca="false">10320*209</f>
        <v>2156880</v>
      </c>
      <c r="F35" s="0" t="n">
        <f aca="false">10320*209</f>
        <v>2156880</v>
      </c>
      <c r="G35" s="0" t="n">
        <f aca="false">10320*209</f>
        <v>2156880</v>
      </c>
      <c r="H35" s="0" t="n">
        <f aca="false">10320*209</f>
        <v>2156880</v>
      </c>
      <c r="I35" s="0" t="n">
        <f aca="false">10320*209</f>
        <v>2156880</v>
      </c>
      <c r="J35" s="0" t="n">
        <f aca="false">10320*209</f>
        <v>2156880</v>
      </c>
      <c r="K35" s="0" t="n">
        <f aca="false">10320*209</f>
        <v>2156880</v>
      </c>
      <c r="L35" s="0" t="n">
        <f aca="false">10320*209</f>
        <v>2156880</v>
      </c>
      <c r="M35" s="0" t="n">
        <f aca="false">10320*209</f>
        <v>2156880</v>
      </c>
      <c r="N35" s="0" t="n">
        <f aca="false">10320*104</f>
        <v>1073280</v>
      </c>
      <c r="O35" s="0" t="n">
        <f aca="false">10320*209</f>
        <v>2156880</v>
      </c>
    </row>
    <row r="36" customFormat="false" ht="15" hidden="false" customHeight="false" outlineLevel="0" collapsed="false">
      <c r="A36" s="1" t="s">
        <v>66</v>
      </c>
    </row>
    <row r="37" customFormat="false" ht="15" hidden="false" customHeight="false" outlineLevel="0" collapsed="false">
      <c r="A37" s="1" t="s">
        <v>67</v>
      </c>
      <c r="I37" s="0" t="n">
        <v>30000</v>
      </c>
      <c r="J37" s="0" t="n">
        <v>30000</v>
      </c>
      <c r="K37" s="0" t="n">
        <v>30000</v>
      </c>
      <c r="L37" s="0" t="n">
        <v>50000</v>
      </c>
      <c r="M37" s="0" t="n">
        <v>50000</v>
      </c>
      <c r="O37" s="0" t="n">
        <v>20000</v>
      </c>
    </row>
    <row r="38" customFormat="false" ht="15" hidden="false" customHeight="false" outlineLevel="0" collapsed="false">
      <c r="A38" s="1" t="s">
        <v>68</v>
      </c>
      <c r="F38" s="0" t="n">
        <v>20000</v>
      </c>
      <c r="G38" s="0" t="n">
        <v>40000</v>
      </c>
      <c r="H38" s="0" t="n">
        <v>60000</v>
      </c>
      <c r="J38" s="0" t="n">
        <v>20000</v>
      </c>
      <c r="K38" s="0" t="n">
        <v>40000</v>
      </c>
      <c r="M38" s="0" t="n">
        <v>40000</v>
      </c>
    </row>
    <row r="39" customFormat="false" ht="15" hidden="false" customHeight="false" outlineLevel="0" collapsed="false">
      <c r="A39" s="1" t="s">
        <v>69</v>
      </c>
      <c r="D39" s="0" t="n">
        <v>200000</v>
      </c>
      <c r="E39" s="0" t="n">
        <v>200000</v>
      </c>
      <c r="F39" s="0" t="n">
        <v>200000</v>
      </c>
      <c r="G39" s="0" t="n">
        <v>200000</v>
      </c>
      <c r="H39" s="0" t="n">
        <v>200000</v>
      </c>
      <c r="I39" s="0" t="n">
        <v>200000</v>
      </c>
      <c r="J39" s="0" t="n">
        <v>200000</v>
      </c>
      <c r="K39" s="0" t="n">
        <v>200000</v>
      </c>
      <c r="L39" s="0" t="n">
        <v>200000</v>
      </c>
      <c r="M39" s="0" t="n">
        <v>200000</v>
      </c>
      <c r="N39" s="0" t="n">
        <v>200000</v>
      </c>
      <c r="O39" s="0" t="n">
        <v>200000</v>
      </c>
    </row>
    <row r="40" customFormat="false" ht="15" hidden="false" customHeight="false" outlineLevel="0" collapsed="false">
      <c r="A40" s="1" t="s">
        <v>70</v>
      </c>
    </row>
    <row r="41" customFormat="false" ht="15" hidden="false" customHeight="false" outlineLevel="0" collapsed="false">
      <c r="A41" s="1" t="s">
        <v>71</v>
      </c>
      <c r="D41" s="0" t="n">
        <f aca="false">SUM(D35:D40)</f>
        <v>2356880</v>
      </c>
      <c r="E41" s="0" t="n">
        <f aca="false">SUM(E35:E40)</f>
        <v>2356880</v>
      </c>
      <c r="F41" s="0" t="n">
        <f aca="false">SUM(F35:F40)</f>
        <v>2376880</v>
      </c>
      <c r="G41" s="0" t="n">
        <f aca="false">SUM(G35:G40)</f>
        <v>2396880</v>
      </c>
      <c r="H41" s="0" t="n">
        <f aca="false">SUM(H35:H40)</f>
        <v>2416880</v>
      </c>
      <c r="I41" s="0" t="n">
        <f aca="false">SUM(I35:I40)</f>
        <v>2386880</v>
      </c>
      <c r="J41" s="0" t="n">
        <f aca="false">SUM(J35:J40)</f>
        <v>2406880</v>
      </c>
      <c r="K41" s="0" t="n">
        <f aca="false">SUM(K35:K40)</f>
        <v>2426880</v>
      </c>
      <c r="L41" s="0" t="n">
        <f aca="false">SUM(L35:L40)</f>
        <v>2406880</v>
      </c>
      <c r="M41" s="0" t="n">
        <f aca="false">SUM(M35:M40)</f>
        <v>2446880</v>
      </c>
      <c r="N41" s="0" t="n">
        <f aca="false">SUM(N35:N40)</f>
        <v>1273280</v>
      </c>
      <c r="O41" s="0" t="n">
        <f aca="false">SUM(O35:O40)</f>
        <v>2376880</v>
      </c>
    </row>
    <row r="42" customFormat="false" ht="15" hidden="false" customHeight="false" outlineLevel="0" collapsed="false">
      <c r="A42" s="1" t="s">
        <v>72</v>
      </c>
      <c r="C42" s="0" t="s">
        <v>73</v>
      </c>
      <c r="D42" s="0" t="n">
        <v>150000</v>
      </c>
      <c r="E42" s="0" t="n">
        <v>150000</v>
      </c>
      <c r="F42" s="0" t="n">
        <v>150000</v>
      </c>
      <c r="G42" s="0" t="n">
        <v>150000</v>
      </c>
      <c r="H42" s="0" t="n">
        <v>150000</v>
      </c>
      <c r="I42" s="0" t="n">
        <v>200000</v>
      </c>
      <c r="J42" s="0" t="n">
        <v>200000</v>
      </c>
      <c r="K42" s="0" t="n">
        <v>200000</v>
      </c>
      <c r="L42" s="0" t="n">
        <v>160000</v>
      </c>
      <c r="M42" s="0" t="n">
        <v>160000</v>
      </c>
      <c r="N42" s="0" t="n">
        <v>70000</v>
      </c>
      <c r="O42" s="0" t="n">
        <v>150000</v>
      </c>
      <c r="S42" s="1" t="s">
        <v>74</v>
      </c>
    </row>
    <row r="43" customFormat="false" ht="15" hidden="false" customHeight="false" outlineLevel="0" collapsed="false">
      <c r="C43" s="0" t="s">
        <v>75</v>
      </c>
      <c r="D43" s="0" t="n">
        <v>110000</v>
      </c>
      <c r="E43" s="0" t="n">
        <v>110000</v>
      </c>
      <c r="F43" s="0" t="n">
        <v>110000</v>
      </c>
      <c r="G43" s="0" t="n">
        <v>110000</v>
      </c>
      <c r="H43" s="0" t="n">
        <v>110000</v>
      </c>
      <c r="I43" s="0" t="n">
        <v>140000</v>
      </c>
      <c r="J43" s="0" t="n">
        <v>140000</v>
      </c>
      <c r="K43" s="0" t="n">
        <v>140000</v>
      </c>
      <c r="L43" s="0" t="n">
        <v>120000</v>
      </c>
      <c r="M43" s="0" t="n">
        <v>120000</v>
      </c>
      <c r="N43" s="0" t="n">
        <v>50000</v>
      </c>
      <c r="O43" s="0" t="n">
        <v>110000</v>
      </c>
    </row>
    <row r="44" customFormat="false" ht="15" hidden="false" customHeight="false" outlineLevel="0" collapsed="false">
      <c r="C44" s="0" t="s">
        <v>76</v>
      </c>
      <c r="D44" s="0" t="n">
        <v>80000</v>
      </c>
      <c r="E44" s="0" t="n">
        <v>80000</v>
      </c>
      <c r="F44" s="0" t="n">
        <v>80000</v>
      </c>
      <c r="G44" s="0" t="n">
        <v>80000</v>
      </c>
      <c r="H44" s="0" t="n">
        <v>80000</v>
      </c>
      <c r="I44" s="0" t="n">
        <v>100000</v>
      </c>
      <c r="J44" s="0" t="n">
        <v>100000</v>
      </c>
      <c r="K44" s="0" t="n">
        <v>100000</v>
      </c>
      <c r="L44" s="0" t="n">
        <v>90000</v>
      </c>
      <c r="M44" s="0" t="n">
        <v>90000</v>
      </c>
      <c r="N44" s="0" t="n">
        <v>30000</v>
      </c>
      <c r="O44" s="0" t="n">
        <v>80000</v>
      </c>
    </row>
    <row r="45" customFormat="false" ht="15" hidden="false" customHeight="false" outlineLevel="0" collapsed="false">
      <c r="C45" s="0" t="s">
        <v>77</v>
      </c>
      <c r="D45" s="0" t="n">
        <v>40000</v>
      </c>
      <c r="E45" s="0" t="n">
        <v>40000</v>
      </c>
      <c r="F45" s="0" t="n">
        <v>40000</v>
      </c>
      <c r="G45" s="0" t="n">
        <v>40000</v>
      </c>
      <c r="H45" s="0" t="n">
        <v>40000</v>
      </c>
      <c r="I45" s="0" t="n">
        <v>50000</v>
      </c>
      <c r="J45" s="0" t="n">
        <v>50000</v>
      </c>
      <c r="K45" s="0" t="n">
        <v>50000</v>
      </c>
      <c r="L45" s="0" t="n">
        <v>40000</v>
      </c>
      <c r="M45" s="0" t="n">
        <v>40000</v>
      </c>
      <c r="N45" s="0" t="n">
        <v>10000</v>
      </c>
      <c r="O45" s="0" t="n">
        <v>40000</v>
      </c>
    </row>
    <row r="46" customFormat="false" ht="15" hidden="false" customHeight="false" outlineLevel="0" collapsed="false">
      <c r="C46" s="0" t="s">
        <v>78</v>
      </c>
      <c r="D46" s="0" t="n">
        <v>10000</v>
      </c>
      <c r="E46" s="0" t="n">
        <v>10000</v>
      </c>
      <c r="F46" s="0" t="n">
        <v>10000</v>
      </c>
      <c r="G46" s="0" t="n">
        <v>10000</v>
      </c>
      <c r="H46" s="0" t="n">
        <v>10000</v>
      </c>
      <c r="I46" s="0" t="n">
        <v>20000</v>
      </c>
      <c r="J46" s="0" t="n">
        <v>20000</v>
      </c>
      <c r="K46" s="0" t="n">
        <v>20000</v>
      </c>
      <c r="L46" s="0" t="n">
        <v>10000</v>
      </c>
      <c r="M46" s="0" t="n">
        <v>10000</v>
      </c>
      <c r="N46" s="0" t="n">
        <v>0</v>
      </c>
      <c r="O46" s="0" t="n">
        <v>10000</v>
      </c>
    </row>
    <row r="47" customFormat="false" ht="15" hidden="false" customHeight="false" outlineLevel="0" collapsed="false">
      <c r="C47" s="0" t="s">
        <v>79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</row>
    <row r="48" customFormat="false" ht="15" hidden="false" customHeight="false" outlineLevel="0" collapsed="false">
      <c r="A48" s="1" t="s">
        <v>80</v>
      </c>
      <c r="E48" s="0" t="n">
        <f aca="false">ROUNDUP(E53*4,-1)</f>
        <v>67670</v>
      </c>
      <c r="F48" s="0" t="n">
        <f aca="false">ROUNDUP(F53*4,-1)</f>
        <v>68240</v>
      </c>
      <c r="G48" s="0" t="n">
        <f aca="false">ROUNDUP(G53*4,-1)</f>
        <v>68810</v>
      </c>
      <c r="H48" s="0" t="n">
        <f aca="false">ROUNDUP(H53*4,-1)</f>
        <v>69390</v>
      </c>
      <c r="I48" s="0" t="n">
        <f aca="false">ROUNDUP(I53*4,-1)</f>
        <v>68530</v>
      </c>
      <c r="J48" s="0" t="n">
        <f aca="false">ROUNDUP(J53*4,-1)</f>
        <v>69100</v>
      </c>
      <c r="K48" s="0" t="n">
        <f aca="false">ROUNDUP(K53*4,-1)</f>
        <v>69680</v>
      </c>
      <c r="O48" s="0" t="n">
        <f aca="false">ROUNDUP(O53*4,-1)</f>
        <v>68240</v>
      </c>
      <c r="S48" s="1" t="s">
        <v>81</v>
      </c>
    </row>
    <row r="49" customFormat="false" ht="15" hidden="false" customHeight="false" outlineLevel="0" collapsed="false">
      <c r="A49" s="1" t="s">
        <v>82</v>
      </c>
      <c r="L49" s="0" t="n">
        <f aca="false">ROUNDUP(L55*40,-1)</f>
        <v>230330</v>
      </c>
      <c r="M49" s="0" t="n">
        <f aca="false">ROUNDUP(M55*40,-1)</f>
        <v>234160</v>
      </c>
    </row>
    <row r="50" customFormat="false" ht="15" hidden="false" customHeight="false" outlineLevel="0" collapsed="false">
      <c r="A50" s="1" t="s">
        <v>83</v>
      </c>
    </row>
    <row r="51" customFormat="false" ht="15" hidden="false" customHeight="false" outlineLevel="0" collapsed="false">
      <c r="A51" s="1" t="s">
        <v>84</v>
      </c>
      <c r="D51" s="0" t="n">
        <f aca="false">D41+D44+SUM(D48:D50)</f>
        <v>2436880</v>
      </c>
      <c r="E51" s="0" t="n">
        <f aca="false">E41+E44+SUM(E48:E50)</f>
        <v>2504550</v>
      </c>
      <c r="F51" s="0" t="n">
        <f aca="false">F41+F44+SUM(F48:F50)</f>
        <v>2525120</v>
      </c>
      <c r="G51" s="0" t="n">
        <f aca="false">G41+G44+SUM(G48:G50)</f>
        <v>2545690</v>
      </c>
      <c r="H51" s="0" t="n">
        <f aca="false">H41+H44+SUM(H48:H50)</f>
        <v>2566270</v>
      </c>
      <c r="I51" s="0" t="n">
        <f aca="false">I41+I44+SUM(I48:I50)</f>
        <v>2555410</v>
      </c>
      <c r="J51" s="0" t="n">
        <f aca="false">J41+J44+SUM(J48:J50)</f>
        <v>2575980</v>
      </c>
      <c r="K51" s="0" t="n">
        <f aca="false">K41+K44+SUM(K48:K50)</f>
        <v>2596560</v>
      </c>
      <c r="L51" s="0" t="n">
        <f aca="false">L41+L44+SUM(L48:L50)</f>
        <v>2727210</v>
      </c>
      <c r="M51" s="0" t="n">
        <f aca="false">M41+M44+SUM(M48:M50)</f>
        <v>2771040</v>
      </c>
      <c r="N51" s="0" t="n">
        <f aca="false">N41+N44+SUM(N48:N50)</f>
        <v>1303280</v>
      </c>
      <c r="O51" s="0" t="n">
        <f aca="false">O41+O44+SUM(O48:O50)</f>
        <v>2525120</v>
      </c>
      <c r="S51" s="0" t="s">
        <v>85</v>
      </c>
    </row>
    <row r="52" customFormat="false" ht="15" hidden="false" customHeight="false" outlineLevel="0" collapsed="false">
      <c r="A52" s="1" t="s">
        <v>86</v>
      </c>
      <c r="D52" s="0" t="n">
        <f aca="false">D41/209*8</f>
        <v>90215.5023923445</v>
      </c>
      <c r="E52" s="0" t="n">
        <f aca="false">E41/209*8</f>
        <v>90215.5023923445</v>
      </c>
      <c r="F52" s="0" t="n">
        <f aca="false">F41/209*8</f>
        <v>90981.052631579</v>
      </c>
      <c r="G52" s="0" t="n">
        <f aca="false">G41/209*8</f>
        <v>91746.6028708134</v>
      </c>
      <c r="H52" s="0" t="n">
        <f aca="false">H41/209*8</f>
        <v>92512.1531100479</v>
      </c>
      <c r="I52" s="0" t="n">
        <f aca="false">I41/209*8</f>
        <v>91363.8277511962</v>
      </c>
      <c r="J52" s="0" t="n">
        <f aca="false">J41/209*8</f>
        <v>92129.3779904306</v>
      </c>
      <c r="K52" s="0" t="n">
        <f aca="false">K41/209*8</f>
        <v>92894.9282296651</v>
      </c>
      <c r="L52" s="0" t="n">
        <f aca="false">L41/209*8</f>
        <v>92129.3779904306</v>
      </c>
      <c r="M52" s="0" t="n">
        <f aca="false">M41/209*8</f>
        <v>93660.4784688995</v>
      </c>
      <c r="N52" s="0" t="n">
        <f aca="false">N41/104*8</f>
        <v>97944.6153846154</v>
      </c>
      <c r="O52" s="0" t="n">
        <f aca="false">O41/209*8</f>
        <v>90981.052631579</v>
      </c>
    </row>
    <row r="53" customFormat="false" ht="15" hidden="false" customHeight="false" outlineLevel="0" collapsed="false">
      <c r="A53" s="1" t="s">
        <v>87</v>
      </c>
      <c r="D53" s="0" t="n">
        <f aca="false">D41/209*1.5</f>
        <v>16915.4066985646</v>
      </c>
      <c r="E53" s="0" t="n">
        <f aca="false">E41/209*1.5</f>
        <v>16915.4066985646</v>
      </c>
      <c r="F53" s="0" t="n">
        <f aca="false">F41/209*1.5</f>
        <v>17058.9473684211</v>
      </c>
      <c r="G53" s="0" t="n">
        <f aca="false">G41/209*1.5</f>
        <v>17202.4880382775</v>
      </c>
      <c r="H53" s="0" t="n">
        <f aca="false">H41/209*1.5</f>
        <v>17346.028708134</v>
      </c>
      <c r="I53" s="0" t="n">
        <f aca="false">I41/209*1.5</f>
        <v>17130.7177033493</v>
      </c>
      <c r="J53" s="0" t="n">
        <f aca="false">J41/209*1.5</f>
        <v>17274.2583732057</v>
      </c>
      <c r="K53" s="0" t="n">
        <f aca="false">K41/209*1.5</f>
        <v>17417.7990430622</v>
      </c>
      <c r="L53" s="0" t="n">
        <f aca="false">L41/209*1.5</f>
        <v>17274.2583732057</v>
      </c>
      <c r="M53" s="0" t="n">
        <f aca="false">M41/209*1.5</f>
        <v>17561.3397129187</v>
      </c>
      <c r="N53" s="0" t="n">
        <f aca="false">N41/104*1.5</f>
        <v>18364.6153846154</v>
      </c>
      <c r="O53" s="0" t="n">
        <f aca="false">O41/209*1.5</f>
        <v>17058.9473684211</v>
      </c>
    </row>
    <row r="54" customFormat="false" ht="15" hidden="false" customHeight="false" outlineLevel="0" collapsed="false">
      <c r="A54" s="1" t="s">
        <v>88</v>
      </c>
      <c r="D54" s="0" t="n">
        <f aca="false">D41/209*1.5</f>
        <v>16915.4066985646</v>
      </c>
      <c r="E54" s="0" t="n">
        <f aca="false">E41/209*1.5</f>
        <v>16915.4066985646</v>
      </c>
      <c r="F54" s="0" t="n">
        <f aca="false">F41/209*1.5</f>
        <v>17058.9473684211</v>
      </c>
      <c r="G54" s="0" t="n">
        <f aca="false">G41/209*1.5</f>
        <v>17202.4880382775</v>
      </c>
      <c r="H54" s="0" t="n">
        <f aca="false">H41/209*1.5</f>
        <v>17346.028708134</v>
      </c>
      <c r="I54" s="0" t="n">
        <f aca="false">I41/209*1.5</f>
        <v>17130.7177033493</v>
      </c>
      <c r="J54" s="0" t="n">
        <f aca="false">J41/209*1.5</f>
        <v>17274.2583732057</v>
      </c>
      <c r="K54" s="0" t="n">
        <f aca="false">K41/209*1.5</f>
        <v>17417.7990430622</v>
      </c>
      <c r="L54" s="0" t="n">
        <f aca="false">L41/209*1.5</f>
        <v>17274.2583732057</v>
      </c>
      <c r="M54" s="0" t="n">
        <f aca="false">M41/209*1.5</f>
        <v>17561.3397129187</v>
      </c>
      <c r="N54" s="0" t="n">
        <f aca="false">N41/104*1.5</f>
        <v>18364.6153846154</v>
      </c>
      <c r="O54" s="0" t="n">
        <f aca="false">O41/209*1.5</f>
        <v>17058.9473684211</v>
      </c>
    </row>
    <row r="55" customFormat="false" ht="15" hidden="false" customHeight="false" outlineLevel="0" collapsed="false">
      <c r="A55" s="1" t="s">
        <v>89</v>
      </c>
      <c r="D55" s="0" t="n">
        <f aca="false">D41/209*0.5</f>
        <v>5638.46889952153</v>
      </c>
      <c r="E55" s="0" t="n">
        <f aca="false">E41/209*0.5</f>
        <v>5638.46889952153</v>
      </c>
      <c r="F55" s="0" t="n">
        <f aca="false">F41/209*0.5</f>
        <v>5686.31578947368</v>
      </c>
      <c r="G55" s="0" t="n">
        <f aca="false">G41/209*0.5</f>
        <v>5734.16267942584</v>
      </c>
      <c r="H55" s="0" t="n">
        <f aca="false">H41/209*0.5</f>
        <v>5782.00956937799</v>
      </c>
      <c r="I55" s="0" t="n">
        <f aca="false">I41/209*0.5</f>
        <v>5710.23923444976</v>
      </c>
      <c r="J55" s="0" t="n">
        <f aca="false">J41/209*0.5</f>
        <v>5758.08612440191</v>
      </c>
      <c r="K55" s="0" t="n">
        <f aca="false">K41/209*0.5</f>
        <v>5805.93301435407</v>
      </c>
      <c r="L55" s="0" t="n">
        <f aca="false">L41/209*0.5</f>
        <v>5758.08612440191</v>
      </c>
      <c r="M55" s="0" t="n">
        <f aca="false">M41/209*0.5</f>
        <v>5853.77990430622</v>
      </c>
      <c r="N55" s="0" t="n">
        <f aca="false">N41/104*0.5</f>
        <v>6121.53846153846</v>
      </c>
      <c r="O55" s="0" t="n">
        <f aca="false">O41/209*0.5</f>
        <v>5686.31578947368</v>
      </c>
    </row>
    <row r="56" customFormat="false" ht="15" hidden="false" customHeight="false" outlineLevel="0" collapsed="false">
      <c r="A56" s="1" t="s">
        <v>90</v>
      </c>
      <c r="D56" s="0" t="n">
        <f aca="false">D51*12</f>
        <v>29242560</v>
      </c>
      <c r="E56" s="0" t="n">
        <f aca="false">E51*12</f>
        <v>30054600</v>
      </c>
      <c r="F56" s="0" t="n">
        <f aca="false">F51*12</f>
        <v>30301440</v>
      </c>
      <c r="G56" s="0" t="n">
        <f aca="false">G51*12</f>
        <v>30548280</v>
      </c>
      <c r="H56" s="0" t="n">
        <f aca="false">H51*12</f>
        <v>30795240</v>
      </c>
      <c r="I56" s="0" t="n">
        <f aca="false">I51*12</f>
        <v>30664920</v>
      </c>
      <c r="J56" s="0" t="n">
        <f aca="false">J51*12</f>
        <v>30911760</v>
      </c>
      <c r="K56" s="0" t="n">
        <f aca="false">K51*12</f>
        <v>31158720</v>
      </c>
      <c r="L56" s="0" t="n">
        <f aca="false">L51*12</f>
        <v>32726520</v>
      </c>
      <c r="M56" s="0" t="n">
        <f aca="false">M51*12</f>
        <v>33252480</v>
      </c>
      <c r="N56" s="0" t="n">
        <f aca="false">N51*12</f>
        <v>15639360</v>
      </c>
      <c r="O56" s="0" t="n">
        <f aca="false">O51*12</f>
        <v>30301440</v>
      </c>
    </row>
    <row r="63" customFormat="false" ht="15" hidden="false" customHeight="false" outlineLevel="0" collapsed="false">
      <c r="A63" s="1" t="s">
        <v>91</v>
      </c>
      <c r="R63" s="0" t="s">
        <v>54</v>
      </c>
    </row>
    <row r="64" customFormat="false" ht="15" hidden="false" customHeight="false" outlineLevel="0" collapsed="false">
      <c r="A64" s="1" t="s">
        <v>18</v>
      </c>
      <c r="D64" s="0" t="s">
        <v>50</v>
      </c>
      <c r="G64" s="0" t="s">
        <v>92</v>
      </c>
      <c r="S64" s="1" t="s">
        <v>59</v>
      </c>
    </row>
    <row r="65" customFormat="false" ht="15" hidden="false" customHeight="false" outlineLevel="0" collapsed="false">
      <c r="D65" s="1" t="s">
        <v>51</v>
      </c>
      <c r="E65" s="1" t="s">
        <v>28</v>
      </c>
      <c r="F65" s="1" t="s">
        <v>52</v>
      </c>
      <c r="G65" s="1" t="s">
        <v>26</v>
      </c>
      <c r="H65" s="1" t="s">
        <v>24</v>
      </c>
    </row>
    <row r="66" customFormat="false" ht="15" hidden="false" customHeight="false" outlineLevel="0" collapsed="false">
      <c r="A66" s="1" t="s">
        <v>65</v>
      </c>
      <c r="D66" s="0" t="n">
        <f aca="false">10320*209</f>
        <v>2156880</v>
      </c>
      <c r="E66" s="0" t="n">
        <f aca="false">10320*209</f>
        <v>2156880</v>
      </c>
      <c r="F66" s="0" t="n">
        <f aca="false">10320*209</f>
        <v>2156880</v>
      </c>
      <c r="G66" s="0" t="n">
        <f aca="false">10320*209</f>
        <v>2156880</v>
      </c>
      <c r="H66" s="0" t="n">
        <f aca="false">10320*209</f>
        <v>2156880</v>
      </c>
    </row>
    <row r="67" customFormat="false" ht="15" hidden="false" customHeight="false" outlineLevel="0" collapsed="false">
      <c r="A67" s="1" t="s">
        <v>66</v>
      </c>
      <c r="D67" s="0" t="n">
        <v>100000</v>
      </c>
      <c r="E67" s="0" t="n">
        <v>250000</v>
      </c>
      <c r="F67" s="0" t="n">
        <v>100000</v>
      </c>
      <c r="G67" s="0" t="n">
        <v>300000</v>
      </c>
      <c r="H67" s="0" t="n">
        <v>500000</v>
      </c>
    </row>
    <row r="68" customFormat="false" ht="15" hidden="false" customHeight="false" outlineLevel="0" collapsed="false">
      <c r="A68" s="1" t="s">
        <v>67</v>
      </c>
      <c r="D68" s="0" t="n">
        <v>100000</v>
      </c>
      <c r="E68" s="0" t="n">
        <v>150000</v>
      </c>
      <c r="F68" s="0" t="n">
        <v>100000</v>
      </c>
      <c r="G68" s="0" t="n">
        <v>200000</v>
      </c>
      <c r="H68" s="0" t="n">
        <v>300000</v>
      </c>
    </row>
    <row r="69" customFormat="false" ht="15" hidden="false" customHeight="false" outlineLevel="0" collapsed="false">
      <c r="A69" s="1" t="s">
        <v>68</v>
      </c>
      <c r="D69" s="0" t="n">
        <v>30000</v>
      </c>
      <c r="E69" s="0" t="n">
        <v>50000</v>
      </c>
      <c r="F69" s="0" t="n">
        <v>30000</v>
      </c>
      <c r="G69" s="0" t="n">
        <v>60000</v>
      </c>
      <c r="H69" s="0" t="n">
        <v>80000</v>
      </c>
    </row>
    <row r="70" customFormat="false" ht="15" hidden="false" customHeight="false" outlineLevel="0" collapsed="false">
      <c r="A70" s="1" t="s">
        <v>69</v>
      </c>
      <c r="D70" s="0" t="n">
        <v>200000</v>
      </c>
      <c r="E70" s="0" t="n">
        <v>200000</v>
      </c>
      <c r="F70" s="0" t="n">
        <v>200000</v>
      </c>
      <c r="G70" s="0" t="n">
        <v>200000</v>
      </c>
      <c r="H70" s="0" t="n">
        <v>200000</v>
      </c>
    </row>
    <row r="71" customFormat="false" ht="15" hidden="false" customHeight="false" outlineLevel="0" collapsed="false">
      <c r="A71" s="1" t="s">
        <v>70</v>
      </c>
    </row>
    <row r="72" customFormat="false" ht="15" hidden="false" customHeight="false" outlineLevel="0" collapsed="false">
      <c r="A72" s="1" t="s">
        <v>71</v>
      </c>
      <c r="D72" s="0" t="n">
        <f aca="false">SUM(D66:D71)</f>
        <v>2586880</v>
      </c>
      <c r="E72" s="0" t="n">
        <f aca="false">SUM(E66:E71)</f>
        <v>2806880</v>
      </c>
      <c r="F72" s="0" t="n">
        <f aca="false">SUM(F66:F71)</f>
        <v>2586880</v>
      </c>
      <c r="G72" s="0" t="n">
        <f aca="false">SUM(G66:G71)</f>
        <v>2916880</v>
      </c>
      <c r="H72" s="0" t="n">
        <f aca="false">SUM(H66:H71)</f>
        <v>3236880</v>
      </c>
    </row>
    <row r="73" customFormat="false" ht="15" hidden="false" customHeight="false" outlineLevel="0" collapsed="false">
      <c r="A73" s="1" t="s">
        <v>72</v>
      </c>
      <c r="C73" s="0" t="s">
        <v>73</v>
      </c>
      <c r="D73" s="0" t="n">
        <v>250000</v>
      </c>
      <c r="E73" s="0" t="n">
        <v>250000</v>
      </c>
      <c r="F73" s="0" t="n">
        <v>250000</v>
      </c>
      <c r="G73" s="0" t="n">
        <v>250000</v>
      </c>
      <c r="H73" s="0" t="n">
        <v>250000</v>
      </c>
      <c r="S73" s="1" t="s">
        <v>74</v>
      </c>
    </row>
    <row r="74" customFormat="false" ht="15" hidden="false" customHeight="false" outlineLevel="0" collapsed="false">
      <c r="C74" s="0" t="s">
        <v>75</v>
      </c>
      <c r="D74" s="0" t="n">
        <v>180000</v>
      </c>
      <c r="E74" s="0" t="n">
        <v>180000</v>
      </c>
      <c r="F74" s="0" t="n">
        <v>180000</v>
      </c>
      <c r="G74" s="0" t="n">
        <v>180000</v>
      </c>
      <c r="H74" s="0" t="n">
        <v>180000</v>
      </c>
    </row>
    <row r="75" customFormat="false" ht="15" hidden="false" customHeight="false" outlineLevel="0" collapsed="false">
      <c r="C75" s="0" t="s">
        <v>76</v>
      </c>
      <c r="D75" s="0" t="n">
        <v>120000</v>
      </c>
      <c r="E75" s="0" t="n">
        <v>120000</v>
      </c>
      <c r="F75" s="0" t="n">
        <v>120000</v>
      </c>
      <c r="G75" s="0" t="n">
        <v>120000</v>
      </c>
      <c r="H75" s="0" t="n">
        <v>120000</v>
      </c>
    </row>
    <row r="76" customFormat="false" ht="15" hidden="false" customHeight="false" outlineLevel="0" collapsed="false">
      <c r="C76" s="0" t="s">
        <v>77</v>
      </c>
      <c r="D76" s="0" t="n">
        <v>60000</v>
      </c>
      <c r="E76" s="0" t="n">
        <v>60000</v>
      </c>
      <c r="F76" s="0" t="n">
        <v>60000</v>
      </c>
      <c r="G76" s="0" t="n">
        <v>60000</v>
      </c>
      <c r="H76" s="0" t="n">
        <v>60000</v>
      </c>
    </row>
    <row r="77" customFormat="false" ht="15" hidden="false" customHeight="false" outlineLevel="0" collapsed="false">
      <c r="C77" s="0" t="s">
        <v>78</v>
      </c>
      <c r="D77" s="0" t="n">
        <v>20000</v>
      </c>
      <c r="E77" s="0" t="n">
        <v>20000</v>
      </c>
      <c r="F77" s="0" t="n">
        <v>20000</v>
      </c>
      <c r="G77" s="0" t="n">
        <v>20000</v>
      </c>
      <c r="H77" s="0" t="n">
        <v>20000</v>
      </c>
    </row>
    <row r="78" customFormat="false" ht="15" hidden="false" customHeight="false" outlineLevel="0" collapsed="false">
      <c r="C78" s="0" t="s">
        <v>79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</row>
    <row r="79" customFormat="false" ht="15" hidden="false" customHeight="false" outlineLevel="0" collapsed="false">
      <c r="A79" s="1" t="s">
        <v>80</v>
      </c>
      <c r="D79" s="0" t="n">
        <f aca="false">ROUNDUP(D84*5,-1)</f>
        <v>92840</v>
      </c>
      <c r="E79" s="0" t="n">
        <f aca="false">ROUNDUP(E84*5,-1)</f>
        <v>100730</v>
      </c>
      <c r="F79" s="0" t="n">
        <f aca="false">ROUNDUP(F84*5,-1)</f>
        <v>92840</v>
      </c>
      <c r="G79" s="0" t="n">
        <f aca="false">ROUNDUP(G84*5,-1)</f>
        <v>104680</v>
      </c>
      <c r="S79" s="1" t="s">
        <v>93</v>
      </c>
    </row>
    <row r="80" customFormat="false" ht="15" hidden="false" customHeight="false" outlineLevel="0" collapsed="false">
      <c r="A80" s="1" t="s">
        <v>82</v>
      </c>
    </row>
    <row r="81" customFormat="false" ht="15" hidden="false" customHeight="false" outlineLevel="0" collapsed="false">
      <c r="A81" s="1" t="s">
        <v>83</v>
      </c>
    </row>
    <row r="82" customFormat="false" ht="15" hidden="false" customHeight="false" outlineLevel="0" collapsed="false">
      <c r="A82" s="1" t="s">
        <v>84</v>
      </c>
      <c r="D82" s="0" t="n">
        <f aca="false">D72+D75+SUM(D79:D81)</f>
        <v>2799720</v>
      </c>
      <c r="E82" s="0" t="n">
        <f aca="false">E72+E75+SUM(E79:E81)</f>
        <v>3027610</v>
      </c>
      <c r="F82" s="0" t="n">
        <f aca="false">F72+F75+SUM(F79:F81)</f>
        <v>2799720</v>
      </c>
      <c r="G82" s="0" t="n">
        <f aca="false">G72+G75+SUM(G79:G81)</f>
        <v>3141560</v>
      </c>
      <c r="H82" s="0" t="n">
        <f aca="false">H72+H75+SUM(H79:H81)</f>
        <v>3356880</v>
      </c>
      <c r="S82" s="0" t="s">
        <v>85</v>
      </c>
    </row>
    <row r="83" customFormat="false" ht="15" hidden="false" customHeight="false" outlineLevel="0" collapsed="false">
      <c r="A83" s="1" t="s">
        <v>86</v>
      </c>
      <c r="D83" s="0" t="n">
        <f aca="false">D72/209*8</f>
        <v>99019.3301435407</v>
      </c>
      <c r="E83" s="0" t="n">
        <f aca="false">E72/209*8</f>
        <v>107440.38277512</v>
      </c>
      <c r="F83" s="0" t="n">
        <f aca="false">F72/209*8</f>
        <v>99019.3301435407</v>
      </c>
      <c r="G83" s="0" t="n">
        <f aca="false">G72/209*8</f>
        <v>111650.909090909</v>
      </c>
      <c r="H83" s="0" t="n">
        <f aca="false">H72/209*8</f>
        <v>123899.71291866</v>
      </c>
    </row>
    <row r="84" customFormat="false" ht="15" hidden="false" customHeight="false" outlineLevel="0" collapsed="false">
      <c r="A84" s="1" t="s">
        <v>87</v>
      </c>
      <c r="D84" s="0" t="n">
        <f aca="false">D72/209*1.5</f>
        <v>18566.1244019139</v>
      </c>
      <c r="E84" s="0" t="n">
        <f aca="false">E72/209*1.5</f>
        <v>20145.0717703349</v>
      </c>
      <c r="F84" s="0" t="n">
        <f aca="false">F72/209*1.5</f>
        <v>18566.1244019139</v>
      </c>
      <c r="G84" s="0" t="n">
        <f aca="false">G72/209*1.5</f>
        <v>20934.5454545455</v>
      </c>
      <c r="H84" s="0" t="n">
        <f aca="false">H72/209*1.5</f>
        <v>23231.1961722488</v>
      </c>
    </row>
    <row r="85" customFormat="false" ht="15" hidden="false" customHeight="false" outlineLevel="0" collapsed="false">
      <c r="A85" s="1" t="s">
        <v>88</v>
      </c>
      <c r="D85" s="0" t="n">
        <f aca="false">D72/209*1.5</f>
        <v>18566.1244019139</v>
      </c>
      <c r="E85" s="0" t="n">
        <f aca="false">E72/209*1.5</f>
        <v>20145.0717703349</v>
      </c>
      <c r="F85" s="0" t="n">
        <f aca="false">F72/209*1.5</f>
        <v>18566.1244019139</v>
      </c>
      <c r="G85" s="0" t="n">
        <f aca="false">G72/209*1.5</f>
        <v>20934.5454545455</v>
      </c>
      <c r="H85" s="0" t="n">
        <f aca="false">H72/209*1.5</f>
        <v>23231.1961722488</v>
      </c>
    </row>
    <row r="86" customFormat="false" ht="15" hidden="false" customHeight="false" outlineLevel="0" collapsed="false">
      <c r="A86" s="1" t="s">
        <v>89</v>
      </c>
      <c r="D86" s="0" t="n">
        <f aca="false">D72/209*0.5</f>
        <v>6188.70813397129</v>
      </c>
      <c r="E86" s="0" t="n">
        <f aca="false">E72/209*0.5</f>
        <v>6715.02392344498</v>
      </c>
      <c r="F86" s="0" t="n">
        <f aca="false">F72/209*0.5</f>
        <v>6188.70813397129</v>
      </c>
      <c r="G86" s="0" t="n">
        <f aca="false">G72/209*0.5</f>
        <v>6978.18181818182</v>
      </c>
      <c r="H86" s="0" t="n">
        <f aca="false">H72/209*0.5</f>
        <v>7743.73205741627</v>
      </c>
    </row>
    <row r="87" customFormat="false" ht="15" hidden="false" customHeight="false" outlineLevel="0" collapsed="false">
      <c r="A87" s="1" t="s">
        <v>90</v>
      </c>
      <c r="D87" s="0" t="n">
        <f aca="false">D82*12</f>
        <v>33596640</v>
      </c>
      <c r="E87" s="0" t="n">
        <f aca="false">E82*12</f>
        <v>36331320</v>
      </c>
      <c r="F87" s="0" t="n">
        <f aca="false">F82*12</f>
        <v>33596640</v>
      </c>
      <c r="G87" s="0" t="n">
        <f aca="false">G82*12</f>
        <v>37698720</v>
      </c>
      <c r="H87" s="0" t="n">
        <f aca="false">H82*12</f>
        <v>40282560</v>
      </c>
    </row>
    <row r="94" customFormat="false" ht="15" hidden="false" customHeight="false" outlineLevel="0" collapsed="false">
      <c r="A94" s="0" t="s">
        <v>94</v>
      </c>
    </row>
    <row r="95" customFormat="false" ht="15" hidden="false" customHeight="false" outlineLevel="0" collapsed="false">
      <c r="A95" s="0" t="s">
        <v>95</v>
      </c>
    </row>
    <row r="97" customFormat="false" ht="15" hidden="false" customHeight="false" outlineLevel="0" collapsed="false">
      <c r="A97" s="0" t="s">
        <v>96</v>
      </c>
    </row>
    <row r="99" customFormat="false" ht="15" hidden="false" customHeight="false" outlineLevel="0" collapsed="false">
      <c r="A99" s="0" t="s">
        <v>97</v>
      </c>
    </row>
    <row r="128" customFormat="false" ht="15" hidden="false" customHeight="false" outlineLevel="0" collapsed="false">
      <c r="A128" s="0" t="s">
        <v>98</v>
      </c>
    </row>
    <row r="129" customFormat="false" ht="15" hidden="false" customHeight="false" outlineLevel="0" collapsed="false">
      <c r="A129" s="1" t="s">
        <v>99</v>
      </c>
      <c r="B129" s="1" t="s">
        <v>100</v>
      </c>
      <c r="C129" s="1" t="s">
        <v>101</v>
      </c>
      <c r="E129" s="1" t="s">
        <v>102</v>
      </c>
      <c r="F129" s="1" t="s">
        <v>103</v>
      </c>
      <c r="G129" s="1" t="s">
        <v>104</v>
      </c>
    </row>
    <row r="130" customFormat="false" ht="15" hidden="false" customHeight="false" outlineLevel="0" collapsed="false">
      <c r="A130" s="1" t="s">
        <v>105</v>
      </c>
      <c r="B130" s="1" t="s">
        <v>105</v>
      </c>
      <c r="C130" s="1" t="s">
        <v>106</v>
      </c>
      <c r="E130" s="0" t="s">
        <v>107</v>
      </c>
      <c r="F130" s="0" t="s">
        <v>108</v>
      </c>
    </row>
    <row r="131" customFormat="false" ht="15" hidden="false" customHeight="false" outlineLevel="0" collapsed="false">
      <c r="A131" s="1" t="s">
        <v>109</v>
      </c>
      <c r="B131" s="1" t="s">
        <v>109</v>
      </c>
      <c r="C131" s="1" t="s">
        <v>106</v>
      </c>
      <c r="E131" s="0" t="s">
        <v>107</v>
      </c>
      <c r="F131" s="0" t="s">
        <v>108</v>
      </c>
    </row>
    <row r="132" customFormat="false" ht="15" hidden="false" customHeight="false" outlineLevel="0" collapsed="false">
      <c r="A132" s="1" t="s">
        <v>55</v>
      </c>
      <c r="B132" s="1" t="s">
        <v>110</v>
      </c>
      <c r="C132" s="1" t="s">
        <v>106</v>
      </c>
      <c r="E132" s="0" t="s">
        <v>107</v>
      </c>
      <c r="F132" s="0" t="s">
        <v>108</v>
      </c>
    </row>
    <row r="133" customFormat="false" ht="15" hidden="false" customHeight="false" outlineLevel="0" collapsed="false">
      <c r="A133" s="1" t="s">
        <v>56</v>
      </c>
      <c r="B133" s="1" t="s">
        <v>111</v>
      </c>
      <c r="C133" s="1" t="s">
        <v>106</v>
      </c>
      <c r="E133" s="0" t="s">
        <v>107</v>
      </c>
      <c r="F133" s="0" t="s">
        <v>108</v>
      </c>
    </row>
    <row r="134" customFormat="false" ht="15" hidden="false" customHeight="false" outlineLevel="0" collapsed="false">
      <c r="A134" s="1" t="s">
        <v>57</v>
      </c>
      <c r="B134" s="1" t="s">
        <v>112</v>
      </c>
      <c r="C134" s="1" t="s">
        <v>113</v>
      </c>
      <c r="E134" s="0" t="s">
        <v>114</v>
      </c>
      <c r="F134" s="0" t="s">
        <v>115</v>
      </c>
    </row>
    <row r="135" customFormat="false" ht="15" hidden="false" customHeight="false" outlineLevel="0" collapsed="false">
      <c r="A135" s="1" t="s">
        <v>58</v>
      </c>
      <c r="B135" s="1" t="s">
        <v>61</v>
      </c>
      <c r="C135" s="1" t="s">
        <v>121</v>
      </c>
      <c r="E135" s="0" t="s">
        <v>122</v>
      </c>
      <c r="F135" s="0" t="s">
        <v>123</v>
      </c>
    </row>
    <row r="136" customFormat="false" ht="15" hidden="false" customHeight="false" outlineLevel="0" collapsed="false">
      <c r="A136" s="1" t="s">
        <v>120</v>
      </c>
      <c r="B136" s="1" t="s">
        <v>61</v>
      </c>
      <c r="C136" s="1" t="s">
        <v>106</v>
      </c>
      <c r="E136" s="0" t="s">
        <v>124</v>
      </c>
      <c r="F136" s="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2026-10-30T05:25:13Z</dcterms:created>
  <dc:creator>openpyxl</dc:creator>
  <dc:description/>
  <dc:language>en-US</dc:language>
  <cp:lastModifiedBy/>
  <dcterms:modified xsi:type="dcterms:W3CDTF">2026-10-30T05:25:13Z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