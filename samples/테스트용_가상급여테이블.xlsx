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급여테이블(변경전)" sheetId="1" state="visible" r:id="rId1"/>
    <sheet xmlns:r="http://schemas.openxmlformats.org/officeDocument/2006/relationships" name="급여테이블(변경후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2026년 급여테이블 — 테스트용 가상 데이터</t>
        </is>
      </c>
    </row>
    <row r="3">
      <c r="A3" t="inlineStr">
        <is>
          <t>센터명</t>
        </is>
      </c>
      <c r="D3" t="inlineStr">
        <is>
          <t>테스트 가상센터</t>
        </is>
      </c>
    </row>
    <row r="5">
      <c r="A5" t="inlineStr">
        <is>
          <t>Ⅰ. 보수테이블</t>
        </is>
      </c>
    </row>
    <row r="6">
      <c r="D6" t="inlineStr">
        <is>
          <t>일반상담</t>
        </is>
      </c>
      <c r="G6" t="inlineStr">
        <is>
          <t>신입</t>
        </is>
      </c>
      <c r="H6" t="inlineStr">
        <is>
          <t>야간상담</t>
        </is>
      </c>
    </row>
    <row r="7">
      <c r="D7" t="inlineStr">
        <is>
          <t>사원</t>
        </is>
      </c>
      <c r="E7" t="inlineStr">
        <is>
          <t>주임</t>
        </is>
      </c>
      <c r="F7" t="inlineStr">
        <is>
          <t>선임</t>
        </is>
      </c>
      <c r="G7" t="inlineStr">
        <is>
          <t>수습</t>
        </is>
      </c>
      <c r="H7" t="inlineStr">
        <is>
          <t>심야상담</t>
        </is>
      </c>
    </row>
    <row r="8">
      <c r="A8" t="inlineStr">
        <is>
          <t>기본급</t>
        </is>
      </c>
      <c r="D8" t="n">
        <v>2085500</v>
      </c>
      <c r="E8" t="n">
        <v>2182500</v>
      </c>
      <c r="F8" t="n">
        <v>2279500</v>
      </c>
      <c r="G8" t="n">
        <v>1940000</v>
      </c>
      <c r="H8" t="n">
        <v>2134000</v>
      </c>
    </row>
    <row r="9">
      <c r="A9" t="inlineStr">
        <is>
          <t>직책수당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직무수당</t>
        </is>
      </c>
      <c r="D10" t="n">
        <v>80000</v>
      </c>
      <c r="E10" t="n">
        <v>80000</v>
      </c>
      <c r="F10" t="n">
        <v>80000</v>
      </c>
      <c r="G10" t="n">
        <v>60000</v>
      </c>
      <c r="H10" t="n">
        <v>100000</v>
      </c>
    </row>
    <row r="11">
      <c r="A11" t="inlineStr">
        <is>
          <t>근속수당</t>
        </is>
      </c>
      <c r="D11" t="n">
        <v>30000</v>
      </c>
      <c r="E11" t="n">
        <v>50000</v>
      </c>
      <c r="F11" t="n">
        <v>70000</v>
      </c>
      <c r="G11" t="n">
        <v>0</v>
      </c>
      <c r="H11" t="n">
        <v>30000</v>
      </c>
    </row>
    <row r="12">
      <c r="A12" t="inlineStr">
        <is>
          <t>급식비</t>
        </is>
      </c>
      <c r="D12" t="n">
        <v>200000</v>
      </c>
      <c r="E12" t="n">
        <v>200000</v>
      </c>
      <c r="F12" t="n">
        <v>200000</v>
      </c>
      <c r="G12" t="n">
        <v>200000</v>
      </c>
      <c r="H12" t="n">
        <v>200000</v>
      </c>
    </row>
    <row r="13">
      <c r="A13" t="inlineStr">
        <is>
          <t>통근비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기준급여 합계</t>
        </is>
      </c>
      <c r="D14">
        <f>SUM(D8:D13)</f>
        <v/>
      </c>
      <c r="E14">
        <f>SUM(E8:E13)</f>
        <v/>
      </c>
      <c r="F14">
        <f>SUM(F8:F13)</f>
        <v/>
      </c>
      <c r="G14">
        <f>SUM(G8:G13)</f>
        <v/>
      </c>
      <c r="H14">
        <f>SUM(H8:H13)</f>
        <v/>
      </c>
    </row>
    <row r="15">
      <c r="C15" t="inlineStr">
        <is>
          <t>A.</t>
        </is>
      </c>
      <c r="D15">
        <f>D14+150000</f>
        <v/>
      </c>
      <c r="E15">
        <f>E14+150000</f>
        <v/>
      </c>
      <c r="F15">
        <f>F14+150000</f>
        <v/>
      </c>
      <c r="G15">
        <f>G14+150000</f>
        <v/>
      </c>
      <c r="H15">
        <f>H14+150000</f>
        <v/>
      </c>
      <c r="S15" t="inlineStr">
        <is>
          <t>업적평가 등급별 월 총액(기준급여 합계 + 업적수당)</t>
        </is>
      </c>
    </row>
    <row r="16">
      <c r="C16" t="inlineStr">
        <is>
          <t>B.</t>
        </is>
      </c>
      <c r="D16">
        <f>D14+100000</f>
        <v/>
      </c>
      <c r="E16">
        <f>E14+100000</f>
        <v/>
      </c>
      <c r="F16">
        <f>F14+100000</f>
        <v/>
      </c>
      <c r="G16">
        <f>G14+100000</f>
        <v/>
      </c>
      <c r="H16">
        <f>H14+100000</f>
        <v/>
      </c>
    </row>
    <row r="17">
      <c r="C17" t="inlineStr">
        <is>
          <t>C.</t>
        </is>
      </c>
      <c r="D17">
        <f>D14+60000</f>
        <v/>
      </c>
      <c r="E17">
        <f>E14+60000</f>
        <v/>
      </c>
      <c r="F17">
        <f>F14+60000</f>
        <v/>
      </c>
      <c r="G17">
        <f>G14+60000</f>
        <v/>
      </c>
      <c r="H17">
        <f>H14+60000</f>
        <v/>
      </c>
    </row>
    <row r="18">
      <c r="C18" t="inlineStr">
        <is>
          <t>D.</t>
        </is>
      </c>
      <c r="D18">
        <f>D14+30000</f>
        <v/>
      </c>
      <c r="E18">
        <f>E14+30000</f>
        <v/>
      </c>
      <c r="F18">
        <f>F14+30000</f>
        <v/>
      </c>
      <c r="G18">
        <f>G14+30000</f>
        <v/>
      </c>
      <c r="H18">
        <f>H14+30000</f>
        <v/>
      </c>
    </row>
    <row r="19">
      <c r="C19" t="inlineStr">
        <is>
          <t>E.</t>
        </is>
      </c>
      <c r="D19">
        <f>D14+0</f>
        <v/>
      </c>
      <c r="E19">
        <f>E14+0</f>
        <v/>
      </c>
      <c r="F19">
        <f>F14+0</f>
        <v/>
      </c>
      <c r="G19">
        <f>G14+0</f>
        <v/>
      </c>
      <c r="H19">
        <f>H14+0</f>
        <v/>
      </c>
    </row>
    <row r="20">
      <c r="C20" t="inlineStr">
        <is>
          <t>F.</t>
        </is>
      </c>
      <c r="D20">
        <f>D14+0</f>
        <v/>
      </c>
      <c r="E20">
        <f>E14+0</f>
        <v/>
      </c>
      <c r="F20">
        <f>F14+0</f>
        <v/>
      </c>
      <c r="G20">
        <f>G14+0</f>
        <v/>
      </c>
      <c r="H20">
        <f>H14+0</f>
        <v/>
      </c>
    </row>
    <row r="21">
      <c r="A21" t="inlineStr">
        <is>
          <t>초과근무수당</t>
        </is>
      </c>
      <c r="D21" t="n">
        <v>150000</v>
      </c>
      <c r="E21" t="n">
        <v>150000</v>
      </c>
      <c r="F21" t="n">
        <v>150000</v>
      </c>
      <c r="G21" t="n">
        <v>0</v>
      </c>
      <c r="H21" t="n">
        <v>0</v>
      </c>
      <c r="S21" t="inlineStr">
        <is>
          <t>사원 10H, 팀장 20H</t>
        </is>
      </c>
    </row>
    <row r="22">
      <c r="A22" t="inlineStr">
        <is>
          <t>야간근로수당</t>
        </is>
      </c>
      <c r="D22" t="n">
        <v>0</v>
      </c>
      <c r="E22" t="n">
        <v>0</v>
      </c>
      <c r="F22" t="n">
        <v>0</v>
      </c>
      <c r="G22" t="n">
        <v>0</v>
      </c>
      <c r="H22" t="n">
        <v>220000</v>
      </c>
    </row>
    <row r="23">
      <c r="A23" t="inlineStr">
        <is>
          <t>통신비</t>
        </is>
      </c>
      <c r="D23" t="n">
        <v>30000</v>
      </c>
      <c r="E23" t="n">
        <v>30000</v>
      </c>
      <c r="F23" t="n">
        <v>30000</v>
      </c>
      <c r="G23" t="n">
        <v>30000</v>
      </c>
      <c r="H23" t="n">
        <v>30000</v>
      </c>
    </row>
    <row r="24">
      <c r="A24" t="inlineStr">
        <is>
          <t>월 총액</t>
        </is>
      </c>
      <c r="D24">
        <f>D14+SUM(D21:D23)</f>
        <v/>
      </c>
      <c r="E24">
        <f>E14+SUM(E21:E23)</f>
        <v/>
      </c>
      <c r="F24">
        <f>F14+SUM(F21:F23)</f>
        <v/>
      </c>
      <c r="G24">
        <f>G14+SUM(G21:G23)</f>
        <v/>
      </c>
      <c r="H24">
        <f>H14+SUM(H21:H23)</f>
        <v/>
      </c>
      <c r="S24" t="inlineStr">
        <is>
          <t>통신비 포함</t>
        </is>
      </c>
    </row>
    <row r="27">
      <c r="A27" t="inlineStr">
        <is>
          <t>Ⅱ. 리딩그룹 보수테이블</t>
        </is>
      </c>
    </row>
    <row r="28">
      <c r="D28" t="inlineStr">
        <is>
          <t>리더</t>
        </is>
      </c>
    </row>
    <row r="29">
      <c r="D29" t="inlineStr">
        <is>
          <t>팀장</t>
        </is>
      </c>
      <c r="E29" t="inlineStr">
        <is>
          <t>센터장</t>
        </is>
      </c>
    </row>
    <row r="30">
      <c r="A30" t="inlineStr">
        <is>
          <t>기본급</t>
        </is>
      </c>
      <c r="D30" t="n">
        <v>2619000</v>
      </c>
      <c r="E30" t="n">
        <v>3201000</v>
      </c>
    </row>
    <row r="31">
      <c r="A31" t="inlineStr">
        <is>
          <t>직책수당</t>
        </is>
      </c>
      <c r="D31" t="n">
        <v>300000</v>
      </c>
      <c r="E31" t="n">
        <v>600000</v>
      </c>
    </row>
    <row r="32">
      <c r="A32" t="inlineStr">
        <is>
          <t>직무수당</t>
        </is>
      </c>
      <c r="D32" t="n">
        <v>120000</v>
      </c>
      <c r="E32" t="n">
        <v>150000</v>
      </c>
    </row>
    <row r="33">
      <c r="A33" t="inlineStr">
        <is>
          <t>근속수당</t>
        </is>
      </c>
      <c r="D33" t="n">
        <v>80000</v>
      </c>
      <c r="E33" t="n">
        <v>100000</v>
      </c>
    </row>
    <row r="34">
      <c r="A34" t="inlineStr">
        <is>
          <t>급식비</t>
        </is>
      </c>
      <c r="D34" t="n">
        <v>200000</v>
      </c>
      <c r="E34" t="n">
        <v>200000</v>
      </c>
    </row>
    <row r="35">
      <c r="A35" t="inlineStr">
        <is>
          <t>통근비</t>
        </is>
      </c>
      <c r="D35" t="n">
        <v>0</v>
      </c>
      <c r="E35" t="n">
        <v>0</v>
      </c>
    </row>
    <row r="36">
      <c r="A36" t="inlineStr">
        <is>
          <t>기준급여 합계</t>
        </is>
      </c>
      <c r="D36">
        <f>SUM(D30:D35)</f>
        <v/>
      </c>
      <c r="E36">
        <f>SUM(E30:E35)</f>
        <v/>
      </c>
    </row>
    <row r="37">
      <c r="C37" t="inlineStr">
        <is>
          <t>A.</t>
        </is>
      </c>
      <c r="D37">
        <f>D36+150000</f>
        <v/>
      </c>
      <c r="E37">
        <f>E36+150000</f>
        <v/>
      </c>
      <c r="S37" t="inlineStr">
        <is>
          <t>업적평가 등급별 월 총액(기준급여 합계 + 업적수당)</t>
        </is>
      </c>
    </row>
    <row r="38">
      <c r="C38" t="inlineStr">
        <is>
          <t>B.</t>
        </is>
      </c>
      <c r="D38">
        <f>D36+100000</f>
        <v/>
      </c>
      <c r="E38">
        <f>E36+100000</f>
        <v/>
      </c>
    </row>
    <row r="39">
      <c r="C39" t="inlineStr">
        <is>
          <t>C.</t>
        </is>
      </c>
      <c r="D39">
        <f>D36+60000</f>
        <v/>
      </c>
      <c r="E39">
        <f>E36+60000</f>
        <v/>
      </c>
    </row>
    <row r="40">
      <c r="C40" t="inlineStr">
        <is>
          <t>D.</t>
        </is>
      </c>
      <c r="D40">
        <f>D36+30000</f>
        <v/>
      </c>
      <c r="E40">
        <f>E36+30000</f>
        <v/>
      </c>
    </row>
    <row r="41">
      <c r="C41" t="inlineStr">
        <is>
          <t>E.</t>
        </is>
      </c>
      <c r="D41">
        <f>D36+0</f>
        <v/>
      </c>
      <c r="E41">
        <f>E36+0</f>
        <v/>
      </c>
    </row>
    <row r="42">
      <c r="C42" t="inlineStr">
        <is>
          <t>F.</t>
        </is>
      </c>
      <c r="D42">
        <f>D36+0</f>
        <v/>
      </c>
      <c r="E42">
        <f>E36+0</f>
        <v/>
      </c>
    </row>
    <row r="43">
      <c r="A43" t="inlineStr">
        <is>
          <t>초과근무수당</t>
        </is>
      </c>
      <c r="D43" t="n">
        <v>300000</v>
      </c>
      <c r="E43" t="n">
        <v>0</v>
      </c>
      <c r="S43" t="inlineStr">
        <is>
          <t>사원 10H, 팀장 20H</t>
        </is>
      </c>
    </row>
    <row r="44">
      <c r="A44" t="inlineStr">
        <is>
          <t>야간근로수당</t>
        </is>
      </c>
      <c r="D44" t="n">
        <v>0</v>
      </c>
      <c r="E44" t="n">
        <v>0</v>
      </c>
    </row>
    <row r="45">
      <c r="A45" t="inlineStr">
        <is>
          <t>통신비</t>
        </is>
      </c>
      <c r="D45" t="n">
        <v>30000</v>
      </c>
      <c r="E45" t="n">
        <v>30000</v>
      </c>
    </row>
    <row r="46">
      <c r="A46" t="inlineStr">
        <is>
          <t>월 총액</t>
        </is>
      </c>
      <c r="D46">
        <f>D36+SUM(D43:D45)</f>
        <v/>
      </c>
      <c r="E46">
        <f>E36+SUM(E43:E45)</f>
        <v/>
      </c>
      <c r="S46" t="inlineStr">
        <is>
          <t>통신비 포함</t>
        </is>
      </c>
    </row>
    <row r="50">
      <c r="A50" t="inlineStr">
        <is>
          <t>예외 및 특례사항</t>
        </is>
      </c>
    </row>
    <row r="51">
      <c r="A51" t="inlineStr">
        <is>
          <t>1. 근무형태</t>
        </is>
      </c>
    </row>
    <row r="52">
      <c r="A52" t="inlineStr">
        <is>
          <t>직무</t>
        </is>
      </c>
      <c r="B52" t="inlineStr">
        <is>
          <t>호봉</t>
        </is>
      </c>
      <c r="C52" t="inlineStr">
        <is>
          <t>근무일</t>
        </is>
      </c>
      <c r="D52" t="inlineStr"/>
      <c r="E52" t="inlineStr">
        <is>
          <t>근무시간</t>
        </is>
      </c>
      <c r="F52" t="inlineStr">
        <is>
          <t>휴게시간</t>
        </is>
      </c>
      <c r="G52" t="inlineStr">
        <is>
          <t>비고</t>
        </is>
      </c>
    </row>
    <row r="53">
      <c r="A53" t="inlineStr">
        <is>
          <t>일반상담</t>
        </is>
      </c>
      <c r="B53" t="inlineStr">
        <is>
          <t>1~5호봉</t>
        </is>
      </c>
      <c r="C53" t="inlineStr">
        <is>
          <t>월~금</t>
        </is>
      </c>
      <c r="D53" t="inlineStr"/>
      <c r="E53" t="inlineStr">
        <is>
          <t>09:00~18:00</t>
        </is>
      </c>
      <c r="F53" t="inlineStr">
        <is>
          <t>12:00~13:00</t>
        </is>
      </c>
      <c r="G53" t="inlineStr">
        <is>
          <t>주 40시간</t>
        </is>
      </c>
    </row>
    <row r="54">
      <c r="A54" t="inlineStr">
        <is>
          <t>심야상담</t>
        </is>
      </c>
      <c r="B54" t="inlineStr">
        <is>
          <t>1~3호봉</t>
        </is>
      </c>
      <c r="C54" t="inlineStr">
        <is>
          <t>일~목</t>
        </is>
      </c>
      <c r="D54" t="inlineStr"/>
      <c r="E54" t="inlineStr">
        <is>
          <t>22:00~07:00</t>
        </is>
      </c>
      <c r="F54" t="inlineStr">
        <is>
          <t>02:00~03:00</t>
        </is>
      </c>
      <c r="G54" t="inlineStr">
        <is>
          <t>야간수당 별도</t>
        </is>
      </c>
    </row>
    <row r="55">
      <c r="A55" t="inlineStr">
        <is>
          <t>리더</t>
        </is>
      </c>
      <c r="B55" t="inlineStr">
        <is>
          <t>-</t>
        </is>
      </c>
      <c r="C55" t="inlineStr">
        <is>
          <t>월~금</t>
        </is>
      </c>
      <c r="D55" t="inlineStr"/>
      <c r="E55" t="inlineStr">
        <is>
          <t>08:30~17:30</t>
        </is>
      </c>
      <c r="F55" t="inlineStr">
        <is>
          <t>12:00~13:00</t>
        </is>
      </c>
      <c r="G55" t="inlineStr"/>
    </row>
    <row r="58">
      <c r="A58" t="inlineStr">
        <is>
          <t>2. 수습기간(3개월) 중에는 수습 기준표를 적용하고, 종료 후 사원 1호봉으로 전환한다.</t>
        </is>
      </c>
    </row>
    <row r="60">
      <c r="A60" t="inlineStr">
        <is>
          <t>3. 초과근무수당은 직무별 약정시간 기준이며, 실제 근무시간이 초과할 경우 별도 정산한다.</t>
        </is>
      </c>
    </row>
    <row r="63">
      <c r="A63" t="inlineStr">
        <is>
          <t>10. 기타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2026년 급여테이블 — 테스트용 가상 데이터</t>
        </is>
      </c>
    </row>
    <row r="3">
      <c r="A3" t="inlineStr">
        <is>
          <t>센터명</t>
        </is>
      </c>
      <c r="D3" t="inlineStr">
        <is>
          <t>테스트 가상센터</t>
        </is>
      </c>
    </row>
    <row r="5">
      <c r="A5" t="inlineStr">
        <is>
          <t>Ⅰ. 보수테이블</t>
        </is>
      </c>
    </row>
    <row r="6">
      <c r="D6" t="inlineStr">
        <is>
          <t>일반상담</t>
        </is>
      </c>
      <c r="G6" t="inlineStr">
        <is>
          <t>신입</t>
        </is>
      </c>
      <c r="H6" t="inlineStr">
        <is>
          <t>야간상담</t>
        </is>
      </c>
    </row>
    <row r="7">
      <c r="D7" t="inlineStr">
        <is>
          <t>사원</t>
        </is>
      </c>
      <c r="E7" t="inlineStr">
        <is>
          <t>주임</t>
        </is>
      </c>
      <c r="F7" t="inlineStr">
        <is>
          <t>선임</t>
        </is>
      </c>
      <c r="G7" t="inlineStr">
        <is>
          <t>수습</t>
        </is>
      </c>
      <c r="H7" t="inlineStr">
        <is>
          <t>심야상담</t>
        </is>
      </c>
    </row>
    <row r="8">
      <c r="A8" t="inlineStr">
        <is>
          <t>기본급</t>
        </is>
      </c>
      <c r="D8" t="n">
        <v>2150000</v>
      </c>
      <c r="E8" t="n">
        <v>2250000</v>
      </c>
      <c r="F8" t="n">
        <v>2350000</v>
      </c>
      <c r="G8" t="n">
        <v>2000000</v>
      </c>
      <c r="H8" t="n">
        <v>2200000</v>
      </c>
    </row>
    <row r="9">
      <c r="A9" t="inlineStr">
        <is>
          <t>직책수당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직무수당</t>
        </is>
      </c>
      <c r="D10" t="n">
        <v>80000</v>
      </c>
      <c r="E10" t="n">
        <v>80000</v>
      </c>
      <c r="F10" t="n">
        <v>80000</v>
      </c>
      <c r="G10" t="n">
        <v>60000</v>
      </c>
      <c r="H10" t="n">
        <v>100000</v>
      </c>
    </row>
    <row r="11">
      <c r="A11" t="inlineStr">
        <is>
          <t>근속수당</t>
        </is>
      </c>
      <c r="D11" t="n">
        <v>30000</v>
      </c>
      <c r="E11" t="n">
        <v>50000</v>
      </c>
      <c r="F11" t="n">
        <v>70000</v>
      </c>
      <c r="G11" t="n">
        <v>0</v>
      </c>
      <c r="H11" t="n">
        <v>30000</v>
      </c>
    </row>
    <row r="12">
      <c r="A12" t="inlineStr">
        <is>
          <t>급식비</t>
        </is>
      </c>
      <c r="D12" t="n">
        <v>200000</v>
      </c>
      <c r="E12" t="n">
        <v>200000</v>
      </c>
      <c r="F12" t="n">
        <v>200000</v>
      </c>
      <c r="G12" t="n">
        <v>200000</v>
      </c>
      <c r="H12" t="n">
        <v>200000</v>
      </c>
    </row>
    <row r="13">
      <c r="A13" t="inlineStr">
        <is>
          <t>통근비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기준급여 합계</t>
        </is>
      </c>
      <c r="D14">
        <f>SUM(D8:D13)</f>
        <v/>
      </c>
      <c r="E14">
        <f>SUM(E8:E13)</f>
        <v/>
      </c>
      <c r="F14">
        <f>SUM(F8:F13)</f>
        <v/>
      </c>
      <c r="G14">
        <f>SUM(G8:G13)</f>
        <v/>
      </c>
      <c r="H14">
        <f>SUM(H8:H13)</f>
        <v/>
      </c>
    </row>
    <row r="15">
      <c r="C15" t="inlineStr">
        <is>
          <t>A.</t>
        </is>
      </c>
      <c r="D15">
        <f>D14+150000</f>
        <v/>
      </c>
      <c r="E15">
        <f>E14+150000</f>
        <v/>
      </c>
      <c r="F15">
        <f>F14+150000</f>
        <v/>
      </c>
      <c r="G15">
        <f>G14+150000</f>
        <v/>
      </c>
      <c r="H15">
        <f>H14+150000</f>
        <v/>
      </c>
      <c r="S15" t="inlineStr">
        <is>
          <t>업적평가 등급별 월 총액(기준급여 합계 + 업적수당)</t>
        </is>
      </c>
    </row>
    <row r="16">
      <c r="C16" t="inlineStr">
        <is>
          <t>B.</t>
        </is>
      </c>
      <c r="D16">
        <f>D14+100000</f>
        <v/>
      </c>
      <c r="E16">
        <f>E14+100000</f>
        <v/>
      </c>
      <c r="F16">
        <f>F14+100000</f>
        <v/>
      </c>
      <c r="G16">
        <f>G14+100000</f>
        <v/>
      </c>
      <c r="H16">
        <f>H14+100000</f>
        <v/>
      </c>
    </row>
    <row r="17">
      <c r="C17" t="inlineStr">
        <is>
          <t>C.</t>
        </is>
      </c>
      <c r="D17">
        <f>D14+60000</f>
        <v/>
      </c>
      <c r="E17">
        <f>E14+60000</f>
        <v/>
      </c>
      <c r="F17">
        <f>F14+60000</f>
        <v/>
      </c>
      <c r="G17">
        <f>G14+60000</f>
        <v/>
      </c>
      <c r="H17">
        <f>H14+60000</f>
        <v/>
      </c>
    </row>
    <row r="18">
      <c r="C18" t="inlineStr">
        <is>
          <t>D.</t>
        </is>
      </c>
      <c r="D18">
        <f>D14+30000</f>
        <v/>
      </c>
      <c r="E18">
        <f>E14+30000</f>
        <v/>
      </c>
      <c r="F18">
        <f>F14+30000</f>
        <v/>
      </c>
      <c r="G18">
        <f>G14+30000</f>
        <v/>
      </c>
      <c r="H18">
        <f>H14+30000</f>
        <v/>
      </c>
    </row>
    <row r="19">
      <c r="C19" t="inlineStr">
        <is>
          <t>E.</t>
        </is>
      </c>
      <c r="D19">
        <f>D14+0</f>
        <v/>
      </c>
      <c r="E19">
        <f>E14+0</f>
        <v/>
      </c>
      <c r="F19">
        <f>F14+0</f>
        <v/>
      </c>
      <c r="G19">
        <f>G14+0</f>
        <v/>
      </c>
      <c r="H19">
        <f>H14+0</f>
        <v/>
      </c>
    </row>
    <row r="20">
      <c r="C20" t="inlineStr">
        <is>
          <t>F.</t>
        </is>
      </c>
      <c r="D20">
        <f>D14+0</f>
        <v/>
      </c>
      <c r="E20">
        <f>E14+0</f>
        <v/>
      </c>
      <c r="F20">
        <f>F14+0</f>
        <v/>
      </c>
      <c r="G20">
        <f>G14+0</f>
        <v/>
      </c>
      <c r="H20">
        <f>H14+0</f>
        <v/>
      </c>
    </row>
    <row r="21">
      <c r="A21" t="inlineStr">
        <is>
          <t>초과근무수당</t>
        </is>
      </c>
      <c r="D21" t="n">
        <v>150000</v>
      </c>
      <c r="E21" t="n">
        <v>150000</v>
      </c>
      <c r="F21" t="n">
        <v>150000</v>
      </c>
      <c r="G21" t="n">
        <v>0</v>
      </c>
      <c r="H21" t="n">
        <v>0</v>
      </c>
      <c r="S21" t="inlineStr">
        <is>
          <t>사원 10H, 팀장 20H</t>
        </is>
      </c>
    </row>
    <row r="22">
      <c r="A22" t="inlineStr">
        <is>
          <t>야간근로수당</t>
        </is>
      </c>
      <c r="D22" t="n">
        <v>0</v>
      </c>
      <c r="E22" t="n">
        <v>0</v>
      </c>
      <c r="F22" t="n">
        <v>0</v>
      </c>
      <c r="G22" t="n">
        <v>0</v>
      </c>
      <c r="H22" t="n">
        <v>220000</v>
      </c>
    </row>
    <row r="23">
      <c r="A23" t="inlineStr">
        <is>
          <t>통신비</t>
        </is>
      </c>
      <c r="D23" t="n">
        <v>30000</v>
      </c>
      <c r="E23" t="n">
        <v>30000</v>
      </c>
      <c r="F23" t="n">
        <v>30000</v>
      </c>
      <c r="G23" t="n">
        <v>30000</v>
      </c>
      <c r="H23" t="n">
        <v>30000</v>
      </c>
    </row>
    <row r="24">
      <c r="A24" t="inlineStr">
        <is>
          <t>월 총액</t>
        </is>
      </c>
      <c r="D24">
        <f>D14+SUM(D21:D23)</f>
        <v/>
      </c>
      <c r="E24">
        <f>E14+SUM(E21:E23)</f>
        <v/>
      </c>
      <c r="F24">
        <f>F14+SUM(F21:F23)</f>
        <v/>
      </c>
      <c r="G24">
        <f>G14+SUM(G21:G23)</f>
        <v/>
      </c>
      <c r="H24">
        <f>H14+SUM(H21:H23)</f>
        <v/>
      </c>
      <c r="S24" t="inlineStr">
        <is>
          <t>통신비 포함</t>
        </is>
      </c>
    </row>
    <row r="27">
      <c r="A27" t="inlineStr">
        <is>
          <t>Ⅱ. 리딩그룹 보수테이블</t>
        </is>
      </c>
    </row>
    <row r="28">
      <c r="D28" t="inlineStr">
        <is>
          <t>리더</t>
        </is>
      </c>
    </row>
    <row r="29">
      <c r="D29" t="inlineStr">
        <is>
          <t>팀장</t>
        </is>
      </c>
      <c r="E29" t="inlineStr">
        <is>
          <t>센터장</t>
        </is>
      </c>
    </row>
    <row r="30">
      <c r="A30" t="inlineStr">
        <is>
          <t>기본급</t>
        </is>
      </c>
      <c r="D30" t="n">
        <v>2700000</v>
      </c>
      <c r="E30" t="n">
        <v>3300000</v>
      </c>
    </row>
    <row r="31">
      <c r="A31" t="inlineStr">
        <is>
          <t>직책수당</t>
        </is>
      </c>
      <c r="D31" t="n">
        <v>300000</v>
      </c>
      <c r="E31" t="n">
        <v>600000</v>
      </c>
    </row>
    <row r="32">
      <c r="A32" t="inlineStr">
        <is>
          <t>직무수당</t>
        </is>
      </c>
      <c r="D32" t="n">
        <v>120000</v>
      </c>
      <c r="E32" t="n">
        <v>150000</v>
      </c>
    </row>
    <row r="33">
      <c r="A33" t="inlineStr">
        <is>
          <t>근속수당</t>
        </is>
      </c>
      <c r="D33" t="n">
        <v>80000</v>
      </c>
      <c r="E33" t="n">
        <v>100000</v>
      </c>
    </row>
    <row r="34">
      <c r="A34" t="inlineStr">
        <is>
          <t>급식비</t>
        </is>
      </c>
      <c r="D34" t="n">
        <v>200000</v>
      </c>
      <c r="E34" t="n">
        <v>200000</v>
      </c>
    </row>
    <row r="35">
      <c r="A35" t="inlineStr">
        <is>
          <t>통근비</t>
        </is>
      </c>
      <c r="D35" t="n">
        <v>0</v>
      </c>
      <c r="E35" t="n">
        <v>0</v>
      </c>
    </row>
    <row r="36">
      <c r="A36" t="inlineStr">
        <is>
          <t>기준급여 합계</t>
        </is>
      </c>
      <c r="D36">
        <f>SUM(D30:D35)</f>
        <v/>
      </c>
      <c r="E36">
        <f>SUM(E30:E35)</f>
        <v/>
      </c>
    </row>
    <row r="37">
      <c r="C37" t="inlineStr">
        <is>
          <t>A.</t>
        </is>
      </c>
      <c r="D37">
        <f>D36+150000</f>
        <v/>
      </c>
      <c r="E37">
        <f>E36+150000</f>
        <v/>
      </c>
      <c r="S37" t="inlineStr">
        <is>
          <t>업적평가 등급별 월 총액(기준급여 합계 + 업적수당)</t>
        </is>
      </c>
    </row>
    <row r="38">
      <c r="C38" t="inlineStr">
        <is>
          <t>B.</t>
        </is>
      </c>
      <c r="D38">
        <f>D36+100000</f>
        <v/>
      </c>
      <c r="E38">
        <f>E36+100000</f>
        <v/>
      </c>
    </row>
    <row r="39">
      <c r="C39" t="inlineStr">
        <is>
          <t>C.</t>
        </is>
      </c>
      <c r="D39">
        <f>D36+60000</f>
        <v/>
      </c>
      <c r="E39">
        <f>E36+60000</f>
        <v/>
      </c>
    </row>
    <row r="40">
      <c r="C40" t="inlineStr">
        <is>
          <t>D.</t>
        </is>
      </c>
      <c r="D40">
        <f>D36+30000</f>
        <v/>
      </c>
      <c r="E40">
        <f>E36+30000</f>
        <v/>
      </c>
    </row>
    <row r="41">
      <c r="C41" t="inlineStr">
        <is>
          <t>E.</t>
        </is>
      </c>
      <c r="D41">
        <f>D36+0</f>
        <v/>
      </c>
      <c r="E41">
        <f>E36+0</f>
        <v/>
      </c>
    </row>
    <row r="42">
      <c r="C42" t="inlineStr">
        <is>
          <t>F.</t>
        </is>
      </c>
      <c r="D42">
        <f>D36+0</f>
        <v/>
      </c>
      <c r="E42">
        <f>E36+0</f>
        <v/>
      </c>
    </row>
    <row r="43">
      <c r="A43" t="inlineStr">
        <is>
          <t>초과근무수당</t>
        </is>
      </c>
      <c r="D43" t="n">
        <v>300000</v>
      </c>
      <c r="E43" t="n">
        <v>0</v>
      </c>
      <c r="S43" t="inlineStr">
        <is>
          <t>사원 10H, 팀장 20H</t>
        </is>
      </c>
    </row>
    <row r="44">
      <c r="A44" t="inlineStr">
        <is>
          <t>야간근로수당</t>
        </is>
      </c>
      <c r="D44" t="n">
        <v>0</v>
      </c>
      <c r="E44" t="n">
        <v>0</v>
      </c>
    </row>
    <row r="45">
      <c r="A45" t="inlineStr">
        <is>
          <t>통신비</t>
        </is>
      </c>
      <c r="D45" t="n">
        <v>30000</v>
      </c>
      <c r="E45" t="n">
        <v>30000</v>
      </c>
    </row>
    <row r="46">
      <c r="A46" t="inlineStr">
        <is>
          <t>월 총액</t>
        </is>
      </c>
      <c r="D46">
        <f>D36+SUM(D43:D45)</f>
        <v/>
      </c>
      <c r="E46">
        <f>E36+SUM(E43:E45)</f>
        <v/>
      </c>
      <c r="S46" t="inlineStr">
        <is>
          <t>통신비 포함</t>
        </is>
      </c>
    </row>
    <row r="50">
      <c r="A50" t="inlineStr">
        <is>
          <t>예외 및 특례사항</t>
        </is>
      </c>
    </row>
    <row r="51">
      <c r="A51" t="inlineStr">
        <is>
          <t>1. 근무형태</t>
        </is>
      </c>
    </row>
    <row r="52">
      <c r="A52" t="inlineStr">
        <is>
          <t>직무</t>
        </is>
      </c>
      <c r="B52" t="inlineStr">
        <is>
          <t>호봉</t>
        </is>
      </c>
      <c r="C52" t="inlineStr">
        <is>
          <t>근무일</t>
        </is>
      </c>
      <c r="D52" t="inlineStr"/>
      <c r="E52" t="inlineStr">
        <is>
          <t>근무시간</t>
        </is>
      </c>
      <c r="F52" t="inlineStr">
        <is>
          <t>휴게시간</t>
        </is>
      </c>
      <c r="G52" t="inlineStr">
        <is>
          <t>비고</t>
        </is>
      </c>
    </row>
    <row r="53">
      <c r="A53" t="inlineStr">
        <is>
          <t>일반상담</t>
        </is>
      </c>
      <c r="B53" t="inlineStr">
        <is>
          <t>1~5호봉</t>
        </is>
      </c>
      <c r="C53" t="inlineStr">
        <is>
          <t>월~금</t>
        </is>
      </c>
      <c r="D53" t="inlineStr"/>
      <c r="E53" t="inlineStr">
        <is>
          <t>09:00~18:00</t>
        </is>
      </c>
      <c r="F53" t="inlineStr">
        <is>
          <t>12:00~13:00</t>
        </is>
      </c>
      <c r="G53" t="inlineStr">
        <is>
          <t>주 40시간</t>
        </is>
      </c>
    </row>
    <row r="54">
      <c r="A54" t="inlineStr">
        <is>
          <t>심야상담</t>
        </is>
      </c>
      <c r="B54" t="inlineStr">
        <is>
          <t>1~3호봉</t>
        </is>
      </c>
      <c r="C54" t="inlineStr">
        <is>
          <t>일~목</t>
        </is>
      </c>
      <c r="D54" t="inlineStr"/>
      <c r="E54" t="inlineStr">
        <is>
          <t>22:00~07:00</t>
        </is>
      </c>
      <c r="F54" t="inlineStr">
        <is>
          <t>02:00~03:00</t>
        </is>
      </c>
      <c r="G54" t="inlineStr">
        <is>
          <t>야간수당 별도</t>
        </is>
      </c>
    </row>
    <row r="55">
      <c r="A55" t="inlineStr">
        <is>
          <t>리더</t>
        </is>
      </c>
      <c r="B55" t="inlineStr">
        <is>
          <t>-</t>
        </is>
      </c>
      <c r="C55" t="inlineStr">
        <is>
          <t>월~금</t>
        </is>
      </c>
      <c r="D55" t="inlineStr"/>
      <c r="E55" t="inlineStr">
        <is>
          <t>08:30~17:30</t>
        </is>
      </c>
      <c r="F55" t="inlineStr">
        <is>
          <t>12:00~13:00</t>
        </is>
      </c>
      <c r="G55" t="inlineStr"/>
    </row>
    <row r="58">
      <c r="A58" t="inlineStr">
        <is>
          <t>2. 수습기간(3개월) 중에는 수습 기준표를 적용하고, 종료 후 사원 1호봉으로 전환한다.</t>
        </is>
      </c>
    </row>
    <row r="60">
      <c r="A60" t="inlineStr">
        <is>
          <t>3. 초과근무수당은 직무별 약정시간 기준이며, 실제 근무시간이 초과할 경우 별도 정산한다.</t>
        </is>
      </c>
    </row>
    <row r="63">
      <c r="A63" t="inlineStr">
        <is>
          <t>10. 기타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2026-10-26T07:34:37Z</dcterms:created>
  <dcterms:modified xmlns:dcterms="http://purl.org/dc/terms/" xmlns:xsi="http://www.w3.org/2001/XMLSchema-instance" xsi:type="dcterms:W3CDTF">2026-10-26T07:34:37Z</dcterms:modified>
</cp:coreProperties>
</file>