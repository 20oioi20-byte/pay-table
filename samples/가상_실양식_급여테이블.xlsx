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급여테이블(변경전)" sheetId="1" state="visible" r:id="rId3"/>
    <sheet name="급여테이블(변경후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<sst xmlns="http://schemas.openxmlformats.org/spreadsheetml/2006/main" count="374" uniqueCount="116">
  <si>
    <r>
      <rPr>
        <sz val="11"/>
        <color theme="1"/>
        <rFont val="WenQuanYi Zen Hei"/>
        <family val="2"/>
      </rPr>
      <t xml:space="preserve">가상시 민원상담콜센터 직무</t>
    </r>
    <r>
      <rPr>
        <sz val="11"/>
        <color theme="1"/>
        <rFont val="Calibri"/>
        <family val="2"/>
        <charset val="1"/>
      </rPr>
      <t xml:space="preserve">GROUP </t>
    </r>
    <r>
      <rPr>
        <sz val="11"/>
        <color theme="1"/>
        <rFont val="WenQuanYi Zen Hei"/>
        <family val="2"/>
      </rPr>
      <t xml:space="preserve">인력운영 기준</t>
    </r>
  </si>
  <si>
    <r>
      <rPr>
        <sz val="11"/>
        <color theme="1"/>
        <rFont val="Calibri"/>
        <family val="2"/>
        <charset val="1"/>
      </rPr>
      <t xml:space="preserve">Ⅰ. </t>
    </r>
    <r>
      <rPr>
        <sz val="11"/>
        <color theme="1"/>
        <rFont val="WenQuanYi Zen Hei"/>
        <family val="2"/>
      </rPr>
      <t xml:space="preserve">관리</t>
    </r>
  </si>
  <si>
    <r>
      <rPr>
        <sz val="11"/>
        <color theme="1"/>
        <rFont val="Calibri"/>
        <family val="2"/>
        <charset val="1"/>
      </rPr>
      <t xml:space="preserve">[ </t>
    </r>
    <r>
      <rPr>
        <sz val="11"/>
        <color theme="1"/>
        <rFont val="WenQuanYi Zen Hei"/>
        <family val="2"/>
      </rPr>
      <t xml:space="preserve">담당</t>
    </r>
    <r>
      <rPr>
        <sz val="11"/>
        <color theme="1"/>
        <rFont val="Calibri"/>
        <family val="2"/>
        <charset val="1"/>
      </rPr>
      <t xml:space="preserve">PM : </t>
    </r>
    <r>
      <rPr>
        <sz val="11"/>
        <color theme="1"/>
        <rFont val="WenQuanYi Zen Hei"/>
        <family val="2"/>
      </rPr>
      <t xml:space="preserve">홍길동 </t>
    </r>
    <r>
      <rPr>
        <sz val="11"/>
        <color theme="1"/>
        <rFont val="Calibri"/>
        <family val="2"/>
        <charset val="1"/>
      </rPr>
      <t xml:space="preserve">]</t>
    </r>
  </si>
  <si>
    <t xml:space="preserve">요청조직명</t>
  </si>
  <si>
    <r>
      <rPr>
        <sz val="11"/>
        <color theme="1"/>
        <rFont val="WenQuanYi Zen Hei"/>
        <family val="2"/>
      </rPr>
      <t xml:space="preserve">가상사업본부 가상사업단 가상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팀</t>
    </r>
  </si>
  <si>
    <t xml:space="preserve">요청일자</t>
  </si>
  <si>
    <t xml:space="preserve">요청사유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</si>
  <si>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년 최저임금 반영</t>
    </r>
  </si>
  <si>
    <t xml:space="preserve">관리번호</t>
  </si>
  <si>
    <r>
      <rPr>
        <sz val="11"/>
        <color theme="1"/>
        <rFont val="WenQuanYi Zen Hei"/>
        <family val="2"/>
      </rPr>
      <t xml:space="preserve">가상시 민원상담콜센터</t>
    </r>
    <r>
      <rPr>
        <sz val="11"/>
        <color theme="1"/>
        <rFont val="Calibri"/>
        <family val="2"/>
        <charset val="1"/>
      </rPr>
      <t xml:space="preserve">/2026</t>
    </r>
    <r>
      <rPr>
        <sz val="11"/>
        <color theme="1"/>
        <rFont val="WenQuanYi Zen Hei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월</t>
    </r>
  </si>
  <si>
    <r>
      <rPr>
        <sz val="11"/>
        <color theme="1"/>
        <rFont val="Calibri"/>
        <family val="2"/>
        <charset val="1"/>
      </rPr>
      <t xml:space="preserve">Ⅱ. </t>
    </r>
    <r>
      <rPr>
        <sz val="11"/>
        <color theme="1"/>
        <rFont val="WenQuanYi Zen Hei"/>
        <family val="2"/>
      </rPr>
      <t xml:space="preserve">직무</t>
    </r>
    <r>
      <rPr>
        <sz val="11"/>
        <color theme="1"/>
        <rFont val="Calibri"/>
        <family val="2"/>
        <charset val="1"/>
      </rPr>
      <t xml:space="preserve">Group</t>
    </r>
  </si>
  <si>
    <t xml:space="preserve">직군명</t>
  </si>
  <si>
    <r>
      <rPr>
        <sz val="11"/>
        <color theme="1"/>
        <rFont val="Calibri"/>
        <family val="2"/>
        <charset val="1"/>
      </rPr>
      <t xml:space="preserve">TM</t>
    </r>
    <r>
      <rPr>
        <sz val="11"/>
        <color theme="1"/>
        <rFont val="WenQuanYi Zen Hei"/>
        <family val="2"/>
      </rPr>
      <t xml:space="preserve">직군</t>
    </r>
  </si>
  <si>
    <r>
      <rPr>
        <sz val="11"/>
        <color theme="1"/>
        <rFont val="WenQuanYi Zen Hei"/>
        <family val="2"/>
      </rPr>
      <t xml:space="preserve">직무</t>
    </r>
    <r>
      <rPr>
        <sz val="11"/>
        <color theme="1"/>
        <rFont val="Calibri"/>
        <family val="2"/>
        <charset val="1"/>
      </rPr>
      <t xml:space="preserve">Group</t>
    </r>
    <r>
      <rPr>
        <sz val="11"/>
        <color theme="1"/>
        <rFont val="WenQuanYi Zen Hei"/>
        <family val="2"/>
      </rPr>
      <t xml:space="preserve">명</t>
    </r>
  </si>
  <si>
    <t xml:space="preserve">가상시 민원상담콜센터</t>
  </si>
  <si>
    <r>
      <rPr>
        <sz val="11"/>
        <color theme="1"/>
        <rFont val="WenQuanYi Zen Hei"/>
        <family val="2"/>
      </rPr>
      <t xml:space="preserve">직무</t>
    </r>
    <r>
      <rPr>
        <sz val="11"/>
        <color theme="1"/>
        <rFont val="Calibri"/>
        <family val="2"/>
        <charset val="1"/>
      </rPr>
      <t xml:space="preserve">Group</t>
    </r>
    <r>
      <rPr>
        <sz val="11"/>
        <color theme="1"/>
        <rFont val="WenQuanYi Zen Hei"/>
        <family val="2"/>
      </rPr>
      <t xml:space="preserve">정의</t>
    </r>
  </si>
  <si>
    <t xml:space="preserve">고객상담</t>
  </si>
  <si>
    <r>
      <rPr>
        <sz val="11"/>
        <color theme="1"/>
        <rFont val="Calibri"/>
        <family val="2"/>
        <charset val="1"/>
      </rPr>
      <t xml:space="preserve">Ⅲ. </t>
    </r>
    <r>
      <rPr>
        <sz val="11"/>
        <color theme="1"/>
        <rFont val="WenQuanYi Zen Hei"/>
        <family val="2"/>
      </rPr>
      <t xml:space="preserve">직무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</si>
  <si>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단위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Calibri"/>
        <family val="2"/>
        <charset val="1"/>
      </rPr>
      <t xml:space="preserve">)</t>
    </r>
  </si>
  <si>
    <t xml:space="preserve">구분</t>
  </si>
  <si>
    <t xml:space="preserve">직무명</t>
  </si>
  <si>
    <t xml:space="preserve">직무정의</t>
  </si>
  <si>
    <r>
      <rPr>
        <sz val="11"/>
        <color theme="1"/>
        <rFont val="WenQuanYi Zen Hei"/>
        <family val="2"/>
      </rPr>
      <t xml:space="preserve">직무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직책수당</t>
    </r>
  </si>
  <si>
    <r>
      <rPr>
        <sz val="11"/>
        <color theme="1"/>
        <rFont val="WenQuanYi Zen Hei"/>
        <family val="2"/>
      </rPr>
      <t xml:space="preserve">직무규정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소속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</si>
  <si>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비평가시 </t>
    </r>
    <r>
      <rPr>
        <sz val="11"/>
        <color theme="1"/>
        <rFont val="Calibri"/>
        <family val="2"/>
        <charset val="1"/>
      </rPr>
      <t xml:space="preserve">/ (</t>
    </r>
    <r>
      <rPr>
        <sz val="11"/>
        <color theme="1"/>
        <rFont val="WenQuanYi Zen Hei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)</t>
    </r>
  </si>
  <si>
    <t xml:space="preserve">정원</t>
  </si>
  <si>
    <t xml:space="preserve">조직장</t>
  </si>
  <si>
    <t xml:space="preserve">센터장</t>
  </si>
  <si>
    <t xml:space="preserve">센터장 업무</t>
  </si>
  <si>
    <t xml:space="preserve">X</t>
  </si>
  <si>
    <t xml:space="preserve">팀장</t>
  </si>
  <si>
    <t xml:space="preserve">팀장 업무</t>
  </si>
  <si>
    <r>
      <rPr>
        <sz val="11"/>
        <color theme="1"/>
        <rFont val="WenQuanYi Zen Hei"/>
        <family val="2"/>
      </rPr>
      <t xml:space="preserve">교육</t>
    </r>
    <r>
      <rPr>
        <sz val="11"/>
        <color theme="1"/>
        <rFont val="Calibri"/>
        <family val="2"/>
        <charset val="1"/>
      </rPr>
      <t xml:space="preserve">/QAA</t>
    </r>
  </si>
  <si>
    <r>
      <rPr>
        <sz val="11"/>
        <color theme="1"/>
        <rFont val="WenQuanYi Zen Hei"/>
        <family val="2"/>
      </rPr>
      <t xml:space="preserve">교육</t>
    </r>
    <r>
      <rPr>
        <sz val="11"/>
        <color theme="1"/>
        <rFont val="Calibri"/>
        <family val="2"/>
        <charset val="1"/>
      </rPr>
      <t xml:space="preserve">/QAA </t>
    </r>
    <r>
      <rPr>
        <sz val="11"/>
        <color theme="1"/>
        <rFont val="WenQuanYi Zen Hei"/>
        <family val="2"/>
      </rPr>
      <t xml:space="preserve">업무</t>
    </r>
  </si>
  <si>
    <t xml:space="preserve">조직원</t>
  </si>
  <si>
    <t xml:space="preserve">상담사</t>
  </si>
  <si>
    <t xml:space="preserve">상담사 업무</t>
  </si>
  <si>
    <t xml:space="preserve">계</t>
  </si>
  <si>
    <r>
      <rPr>
        <sz val="11"/>
        <color theme="1"/>
        <rFont val="Calibri"/>
        <family val="2"/>
        <charset val="1"/>
      </rPr>
      <t xml:space="preserve">Ⅳ. </t>
    </r>
    <r>
      <rPr>
        <sz val="11"/>
        <color theme="1"/>
        <rFont val="WenQuanYi Zen Hei"/>
        <family val="2"/>
      </rPr>
      <t xml:space="preserve">정원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</si>
  <si>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단위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Calibri"/>
        <family val="2"/>
        <charset val="1"/>
      </rPr>
      <t xml:space="preserve">)</t>
    </r>
  </si>
  <si>
    <t xml:space="preserve">직급</t>
  </si>
  <si>
    <r>
      <rPr>
        <sz val="11"/>
        <color theme="1"/>
        <rFont val="WenQuanYi Zen Hei"/>
        <family val="2"/>
      </rPr>
      <t xml:space="preserve">컨설턴트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일반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</si>
  <si>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컨설턴트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전문</t>
    </r>
    <r>
      <rPr>
        <sz val="11"/>
        <color theme="1"/>
        <rFont val="Calibri"/>
        <family val="2"/>
        <charset val="1"/>
      </rPr>
      <t xml:space="preserve">)</t>
    </r>
  </si>
  <si>
    <t xml:space="preserve">호봉</t>
  </si>
  <si>
    <t xml:space="preserve">수습</t>
  </si>
  <si>
    <r>
      <rPr>
        <sz val="11"/>
        <color theme="1"/>
        <rFont val="WenQuanYi Zen Hei"/>
        <family val="2"/>
      </rPr>
      <t xml:space="preserve">상담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</si>
  <si>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상담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</si>
  <si>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상담</t>
    </r>
    <r>
      <rPr>
        <sz val="11"/>
        <color theme="1"/>
        <rFont val="Calibri"/>
        <family val="2"/>
        <charset val="1"/>
      </rPr>
      <t xml:space="preserve">3</t>
    </r>
  </si>
  <si>
    <t xml:space="preserve">Staff</t>
  </si>
  <si>
    <t xml:space="preserve">Leader</t>
  </si>
  <si>
    <t xml:space="preserve">상담팀장</t>
  </si>
  <si>
    <t xml:space="preserve">교육강사</t>
  </si>
  <si>
    <t xml:space="preserve">총계</t>
  </si>
  <si>
    <r>
      <rPr>
        <sz val="11"/>
        <color theme="1"/>
        <rFont val="Calibri"/>
        <family val="2"/>
        <charset val="1"/>
      </rPr>
      <t xml:space="preserve">Ⅴ. </t>
    </r>
    <r>
      <rPr>
        <sz val="11"/>
        <color theme="1"/>
        <rFont val="WenQuanYi Zen Hei"/>
        <family val="2"/>
      </rPr>
      <t xml:space="preserve">보수테이블</t>
    </r>
  </si>
  <si>
    <t xml:space="preserve">상담</t>
  </si>
  <si>
    <t xml:space="preserve">비고</t>
  </si>
  <si>
    <t xml:space="preserve">기본급</t>
  </si>
  <si>
    <t xml:space="preserve">직책수당</t>
  </si>
  <si>
    <t xml:space="preserve">직무수당</t>
  </si>
  <si>
    <t xml:space="preserve">근속수당</t>
  </si>
  <si>
    <t xml:space="preserve">급식비</t>
  </si>
  <si>
    <t xml:space="preserve">통근비</t>
  </si>
  <si>
    <t xml:space="preserve">통상임금소계</t>
  </si>
  <si>
    <t xml:space="preserve">업적수당</t>
  </si>
  <si>
    <t xml:space="preserve">S</t>
  </si>
  <si>
    <t xml:space="preserve">평가결과에 따름 </t>
  </si>
  <si>
    <t xml:space="preserve">A</t>
  </si>
  <si>
    <t xml:space="preserve">B</t>
  </si>
  <si>
    <t xml:space="preserve">C.</t>
  </si>
  <si>
    <t xml:space="preserve">D</t>
  </si>
  <si>
    <t xml:space="preserve">E</t>
  </si>
  <si>
    <t xml:space="preserve">초과근무수당</t>
  </si>
  <si>
    <t xml:space="preserve">2H</t>
  </si>
  <si>
    <t xml:space="preserve">야간근로수당</t>
  </si>
  <si>
    <t xml:space="preserve">통신비</t>
  </si>
  <si>
    <t xml:space="preserve">월 보수 합계</t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</si>
  <si>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등급 기준</t>
    </r>
  </si>
  <si>
    <r>
      <rPr>
        <sz val="11"/>
        <color theme="1"/>
        <rFont val="WenQuanYi Zen Hei"/>
        <family val="2"/>
      </rPr>
      <t xml:space="preserve">연차수당</t>
    </r>
    <r>
      <rPr>
        <sz val="11"/>
        <color theme="1"/>
        <rFont val="Calibri"/>
        <family val="2"/>
        <charset val="1"/>
      </rPr>
      <t xml:space="preserve">(1D)</t>
    </r>
  </si>
  <si>
    <r>
      <rPr>
        <sz val="11"/>
        <color theme="1"/>
        <rFont val="WenQuanYi Zen Hei"/>
        <family val="2"/>
      </rPr>
      <t xml:space="preserve">시간외수당</t>
    </r>
    <r>
      <rPr>
        <sz val="11"/>
        <color theme="1"/>
        <rFont val="Calibri"/>
        <family val="2"/>
        <charset val="1"/>
      </rPr>
      <t xml:space="preserve">(1H)</t>
    </r>
  </si>
  <si>
    <r>
      <rPr>
        <sz val="11"/>
        <color theme="1"/>
        <rFont val="WenQuanYi Zen Hei"/>
        <family val="2"/>
      </rPr>
      <t xml:space="preserve">휴일근로수당</t>
    </r>
    <r>
      <rPr>
        <sz val="11"/>
        <color theme="1"/>
        <rFont val="Calibri"/>
        <family val="2"/>
        <charset val="1"/>
      </rPr>
      <t xml:space="preserve">(1H)</t>
    </r>
  </si>
  <si>
    <r>
      <rPr>
        <sz val="11"/>
        <color theme="1"/>
        <rFont val="WenQuanYi Zen Hei"/>
        <family val="2"/>
      </rPr>
      <t xml:space="preserve">야근수당</t>
    </r>
    <r>
      <rPr>
        <sz val="11"/>
        <color theme="1"/>
        <rFont val="Calibri"/>
        <family val="2"/>
        <charset val="1"/>
      </rPr>
      <t xml:space="preserve">(1H)</t>
    </r>
  </si>
  <si>
    <t xml:space="preserve">호칭별 연간 보수 합계</t>
  </si>
  <si>
    <r>
      <rPr>
        <sz val="11"/>
        <color theme="1"/>
        <rFont val="WenQuanYi Zen Hei"/>
        <family val="2"/>
      </rPr>
      <t xml:space="preserve">전체 연간 인건비 합계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정원기준</t>
    </r>
    <r>
      <rPr>
        <sz val="11"/>
        <color theme="1"/>
        <rFont val="Calibri"/>
        <family val="2"/>
        <charset val="1"/>
      </rPr>
      <t xml:space="preserve">)</t>
    </r>
  </si>
  <si>
    <t xml:space="preserve">당해년도 입사자 국민연금 산정 기준 보수월액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</si>
  <si>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등급 기준</t>
    </r>
  </si>
  <si>
    <r>
      <rPr>
        <sz val="11"/>
        <color theme="1"/>
        <rFont val="WenQuanYi Zen Hei"/>
        <family val="2"/>
      </rPr>
      <t xml:space="preserve">당해년도 입사자 건강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고용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산재보험 산정 기준 보수월액</t>
    </r>
  </si>
  <si>
    <r>
      <rPr>
        <sz val="11"/>
        <color theme="1"/>
        <rFont val="WenQuanYi Zen Hei"/>
        <family val="2"/>
      </rPr>
      <t xml:space="preserve">변경 전 월보수 </t>
    </r>
    <r>
      <rPr>
        <sz val="11"/>
        <color theme="1"/>
        <rFont val="Calibri"/>
        <family val="2"/>
        <charset val="1"/>
      </rPr>
      <t xml:space="preserve">GAP</t>
    </r>
  </si>
  <si>
    <r>
      <rPr>
        <sz val="11"/>
        <color theme="1"/>
        <rFont val="WenQuanYi Zen Hei"/>
        <family val="2"/>
      </rPr>
      <t xml:space="preserve">ㅇ 리딩그룹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스탭이상 </t>
    </r>
    <r>
      <rPr>
        <sz val="11"/>
        <color theme="1"/>
        <rFont val="Calibri"/>
        <family val="2"/>
        <charset val="1"/>
      </rPr>
      <t xml:space="preserve">~ </t>
    </r>
    <r>
      <rPr>
        <sz val="11"/>
        <color theme="1"/>
        <rFont val="WenQuanYi Zen Hei"/>
        <family val="2"/>
      </rPr>
      <t xml:space="preserve">센터장</t>
    </r>
    <r>
      <rPr>
        <sz val="11"/>
        <color theme="1"/>
        <rFont val="Calibri"/>
        <family val="2"/>
        <charset val="1"/>
      </rPr>
      <t xml:space="preserve">) </t>
    </r>
  </si>
  <si>
    <t xml:space="preserve">강사</t>
  </si>
  <si>
    <r>
      <rPr>
        <sz val="11"/>
        <color theme="1"/>
        <rFont val="WenQuanYi Zen Hei"/>
        <family val="2"/>
      </rPr>
      <t xml:space="preserve">팀장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강사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센터장 </t>
    </r>
    <r>
      <rPr>
        <sz val="11"/>
        <color theme="1"/>
        <rFont val="Calibri"/>
        <family val="2"/>
        <charset val="1"/>
      </rPr>
      <t xml:space="preserve">5H</t>
    </r>
  </si>
  <si>
    <r>
      <rPr>
        <sz val="11"/>
        <color theme="1"/>
        <rFont val="Calibri"/>
        <family val="2"/>
        <charset val="1"/>
      </rPr>
      <t xml:space="preserve">Ⅵ. </t>
    </r>
    <r>
      <rPr>
        <sz val="11"/>
        <color theme="1"/>
        <rFont val="WenQuanYi Zen Hei"/>
        <family val="2"/>
      </rPr>
      <t xml:space="preserve">예외 및 특례사항</t>
    </r>
  </si>
  <si>
    <r>
      <rPr>
        <sz val="11"/>
        <color theme="1"/>
        <rFont val="Calibri"/>
        <family val="2"/>
        <charset val="1"/>
      </rPr>
      <t xml:space="preserve">     1. </t>
    </r>
    <r>
      <rPr>
        <sz val="11"/>
        <color theme="1"/>
        <rFont val="WenQuanYi Zen Hei"/>
        <family val="2"/>
      </rPr>
      <t xml:space="preserve">수습기간은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개월 적용한다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</si>
  <si>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   2. </t>
    </r>
    <r>
      <rPr>
        <sz val="11"/>
        <color theme="1"/>
        <rFont val="WenQuanYi Zen Hei"/>
        <family val="2"/>
      </rPr>
      <t xml:space="preserve">무급사유 발생 시 통상임금 항목은 일할 계산한다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</si>
  <si>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   3. </t>
    </r>
    <r>
      <rPr>
        <sz val="11"/>
        <color theme="1"/>
        <rFont val="WenQuanYi Zen Hei"/>
        <family val="2"/>
      </rPr>
      <t xml:space="preserve">업적수당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성과평가 결과에 따라 직무별 차등 지급한다</t>
    </r>
    <r>
      <rPr>
        <sz val="11"/>
        <color theme="1"/>
        <rFont val="Calibri"/>
        <family val="2"/>
        <charset val="1"/>
      </rPr>
      <t xml:space="preserve">. </t>
    </r>
  </si>
  <si>
    <r>
      <rPr>
        <sz val="11"/>
        <color theme="1"/>
        <rFont val="Calibri"/>
        <family val="2"/>
        <charset val="1"/>
      </rPr>
      <t xml:space="preserve">     4. </t>
    </r>
    <r>
      <rPr>
        <sz val="11"/>
        <color theme="1"/>
        <rFont val="WenQuanYi Zen Hei"/>
        <family val="2"/>
      </rPr>
      <t xml:space="preserve">복리후생비 지급 기준</t>
    </r>
  </si>
  <si>
    <t xml:space="preserve">     ㅇ 급식비 </t>
  </si>
  <si>
    <t xml:space="preserve">주요내용 </t>
  </si>
  <si>
    <t xml:space="preserve">지급기준</t>
  </si>
  <si>
    <t xml:space="preserve">매 월 마지막 영업일 재직 시 전액 지급</t>
  </si>
  <si>
    <t xml:space="preserve">제외사항 </t>
  </si>
  <si>
    <r>
      <rPr>
        <sz val="11"/>
        <color theme="1"/>
        <rFont val="WenQuanYi Zen Hei"/>
        <family val="2"/>
      </rPr>
      <t xml:space="preserve">실제 출근일 수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일 이하자는 지급 제외</t>
    </r>
  </si>
  <si>
    <r>
      <rPr>
        <sz val="11"/>
        <color theme="1"/>
        <rFont val="Calibri"/>
        <family val="2"/>
        <charset val="1"/>
      </rPr>
      <t xml:space="preserve">  5. </t>
    </r>
    <r>
      <rPr>
        <sz val="11"/>
        <color theme="1"/>
        <rFont val="WenQuanYi Zen Hei"/>
        <family val="2"/>
      </rPr>
      <t xml:space="preserve">인센티브 지급 기준 </t>
    </r>
  </si>
  <si>
    <r>
      <rPr>
        <sz val="11"/>
        <color theme="1"/>
        <rFont val="Calibri"/>
        <family val="2"/>
        <charset val="1"/>
      </rPr>
      <t xml:space="preserve">  6. </t>
    </r>
    <r>
      <rPr>
        <sz val="11"/>
        <color theme="1"/>
        <rFont val="WenQuanYi Zen Hei"/>
        <family val="2"/>
      </rPr>
      <t xml:space="preserve">호봉별 등급부여 기준</t>
    </r>
  </si>
  <si>
    <r>
      <rPr>
        <sz val="11"/>
        <color theme="1"/>
        <rFont val="Calibri"/>
        <family val="2"/>
        <charset val="1"/>
      </rPr>
      <t xml:space="preserve">   7. </t>
    </r>
    <r>
      <rPr>
        <sz val="11"/>
        <color theme="1"/>
        <rFont val="WenQuanYi Zen Hei"/>
        <family val="2"/>
      </rPr>
      <t xml:space="preserve">연차 평균 사용률</t>
    </r>
  </si>
  <si>
    <r>
      <rPr>
        <sz val="11"/>
        <color theme="1"/>
        <rFont val="Calibri"/>
        <family val="2"/>
        <charset val="1"/>
      </rPr>
      <t xml:space="preserve">   8. </t>
    </r>
    <r>
      <rPr>
        <sz val="11"/>
        <color theme="1"/>
        <rFont val="WenQuanYi Zen Hei"/>
        <family val="2"/>
      </rPr>
      <t xml:space="preserve">월 근무일수에 따른 업적수당 지급 기준</t>
    </r>
  </si>
  <si>
    <r>
      <rPr>
        <sz val="11"/>
        <color theme="1"/>
        <rFont val="Calibri"/>
        <family val="2"/>
        <charset val="1"/>
      </rPr>
      <t xml:space="preserve">  9.</t>
    </r>
    <r>
      <rPr>
        <sz val="11"/>
        <color theme="1"/>
        <rFont val="WenQuanYi Zen Hei"/>
        <family val="2"/>
      </rPr>
      <t xml:space="preserve">근무형태</t>
    </r>
  </si>
  <si>
    <t xml:space="preserve">직무</t>
  </si>
  <si>
    <t xml:space="preserve"> 호봉</t>
  </si>
  <si>
    <t xml:space="preserve"> 근무일</t>
  </si>
  <si>
    <t xml:space="preserve"> 근무시간</t>
  </si>
  <si>
    <t xml:space="preserve"> 휴게시간</t>
  </si>
  <si>
    <t xml:space="preserve"> 비고</t>
  </si>
  <si>
    <r>
      <rPr>
        <sz val="11"/>
        <color theme="1"/>
        <rFont val="WenQuanYi Zen Hei"/>
        <family val="2"/>
      </rPr>
      <t xml:space="preserve">주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WenQuanYi Zen Hei"/>
        <family val="2"/>
      </rPr>
      <t xml:space="preserve">금</t>
    </r>
    <r>
      <rPr>
        <sz val="11"/>
        <color theme="1"/>
        <rFont val="Calibri"/>
        <family val="2"/>
        <charset val="1"/>
      </rPr>
      <t xml:space="preserve">), 40</t>
    </r>
    <r>
      <rPr>
        <sz val="11"/>
        <color theme="1"/>
        <rFont val="WenQuanYi Zen Hei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일 </t>
    </r>
    <r>
      <rPr>
        <sz val="11"/>
        <color theme="1"/>
        <rFont val="Calibri"/>
        <family val="2"/>
        <charset val="1"/>
      </rPr>
      <t xml:space="preserve">8H)</t>
    </r>
  </si>
  <si>
    <t xml:space="preserve">09:00 ~ 18:00</t>
  </si>
  <si>
    <t xml:space="preserve"> 12:00 ~ 13:00</t>
  </si>
  <si>
    <r>
      <rPr>
        <sz val="11"/>
        <color theme="1"/>
        <rFont val="WenQuanYi Zen Hei"/>
        <family val="2"/>
      </rPr>
      <t xml:space="preserve">팀장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강사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</si>
</sst>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4" customFormat="false" ht="15" hidden="false" customHeight="false" outlineLevel="0" collapsed="false">
      <c r="A4" s="0" t="s">
        <v>1</v>
      </c>
      <c r="S4" s="0" t="s">
        <v>2</v>
      </c>
    </row>
    <row r="6" customFormat="false" ht="15" hidden="false" customHeight="false" outlineLevel="0" collapsed="false">
      <c r="A6" s="1" t="s">
        <v>3</v>
      </c>
      <c r="D6" s="1" t="s">
        <v>4</v>
      </c>
      <c r="H6" s="1" t="s">
        <v>5</v>
      </c>
      <c r="K6" s="0" t="n">
        <v>46023</v>
      </c>
    </row>
    <row r="7" customFormat="false" ht="15" hidden="false" customHeight="false" outlineLevel="0" collapsed="false">
      <c r="A7" s="1" t="s">
        <v>6</v>
      </c>
      <c r="D7" s="0" t="s">
        <v>7</v>
      </c>
      <c r="H7" s="1" t="s">
        <v>8</v>
      </c>
      <c r="K7" s="1" t="s">
        <v>9</v>
      </c>
    </row>
    <row r="9" customFormat="false" ht="15" hidden="false" customHeight="false" outlineLevel="0" collapsed="false">
      <c r="A9" s="0" t="s">
        <v>10</v>
      </c>
    </row>
    <row r="11" customFormat="false" ht="15" hidden="false" customHeight="false" outlineLevel="0" collapsed="false">
      <c r="A11" s="1" t="s">
        <v>11</v>
      </c>
      <c r="D11" s="0" t="s">
        <v>12</v>
      </c>
    </row>
    <row r="12" customFormat="false" ht="15" hidden="false" customHeight="false" outlineLevel="0" collapsed="false">
      <c r="A12" s="1" t="s">
        <v>13</v>
      </c>
      <c r="D12" s="1" t="s">
        <v>14</v>
      </c>
      <c r="H12" s="1" t="s">
        <v>15</v>
      </c>
      <c r="K12" s="1" t="s">
        <v>16</v>
      </c>
    </row>
    <row r="14" customFormat="false" ht="15" hidden="false" customHeight="false" outlineLevel="0" collapsed="false">
      <c r="A14" s="0" t="s">
        <v>17</v>
      </c>
      <c r="R14" s="0" t="s">
        <v>18</v>
      </c>
    </row>
    <row r="15" customFormat="false" ht="15" hidden="false" customHeight="false" outlineLevel="0" collapsed="false">
      <c r="A15" s="1" t="s">
        <v>19</v>
      </c>
      <c r="B15" s="1" t="s">
        <v>20</v>
      </c>
      <c r="E15" s="1" t="s">
        <v>21</v>
      </c>
      <c r="H15" s="1" t="s">
        <v>22</v>
      </c>
      <c r="I15" s="1" t="s">
        <v>23</v>
      </c>
      <c r="R15" s="1" t="s">
        <v>24</v>
      </c>
      <c r="S15" s="1" t="s">
        <v>25</v>
      </c>
    </row>
    <row r="16" customFormat="false" ht="15" hidden="false" customHeight="false" outlineLevel="0" collapsed="false">
      <c r="A16" s="1" t="s">
        <v>26</v>
      </c>
      <c r="B16" s="1" t="s">
        <v>27</v>
      </c>
      <c r="E16" s="1" t="s">
        <v>28</v>
      </c>
      <c r="H16" s="0" t="n">
        <f aca="false">Q67</f>
        <v>400000</v>
      </c>
      <c r="R16" s="0" t="s">
        <v>29</v>
      </c>
      <c r="S16" s="0" t="n">
        <v>1</v>
      </c>
    </row>
    <row r="17" customFormat="false" ht="15" hidden="false" customHeight="false" outlineLevel="0" collapsed="false">
      <c r="B17" s="1" t="s">
        <v>30</v>
      </c>
      <c r="E17" s="1" t="s">
        <v>31</v>
      </c>
      <c r="H17" s="0" t="n">
        <f aca="false">D67</f>
        <v>200000</v>
      </c>
      <c r="R17" s="0" t="s">
        <v>29</v>
      </c>
      <c r="S17" s="0" t="n">
        <v>1</v>
      </c>
    </row>
    <row r="18" customFormat="false" ht="15" hidden="false" customHeight="false" outlineLevel="0" collapsed="false">
      <c r="B18" s="1" t="s">
        <v>32</v>
      </c>
      <c r="E18" s="1" t="s">
        <v>33</v>
      </c>
      <c r="H18" s="0" t="n">
        <f aca="false">E67</f>
        <v>150000</v>
      </c>
      <c r="R18" s="0" t="s">
        <v>29</v>
      </c>
      <c r="S18" s="0" t="n">
        <v>1</v>
      </c>
    </row>
    <row r="19" customFormat="false" ht="15" hidden="false" customHeight="false" outlineLevel="0" collapsed="false">
      <c r="A19" s="1" t="s">
        <v>34</v>
      </c>
      <c r="B19" s="1" t="s">
        <v>35</v>
      </c>
      <c r="E19" s="1" t="s">
        <v>36</v>
      </c>
      <c r="R19" s="0" t="s">
        <v>29</v>
      </c>
      <c r="S19" s="0" t="n">
        <v>20</v>
      </c>
    </row>
    <row r="22" customFormat="false" ht="15" hidden="false" customHeight="false" outlineLevel="0" collapsed="false">
      <c r="A22" s="1" t="s">
        <v>37</v>
      </c>
      <c r="S22" s="0" t="n">
        <f aca="false">SUM(S16:S21)</f>
        <v>23</v>
      </c>
    </row>
    <row r="24" customFormat="false" ht="15" hidden="false" customHeight="false" outlineLevel="0" collapsed="false">
      <c r="A24" s="0" t="s">
        <v>38</v>
      </c>
      <c r="R24" s="0" t="s">
        <v>39</v>
      </c>
    </row>
    <row r="25" customFormat="false" ht="15" hidden="false" customHeight="false" outlineLevel="0" collapsed="false">
      <c r="A25" s="1" t="s">
        <v>19</v>
      </c>
      <c r="B25" s="1" t="s">
        <v>40</v>
      </c>
      <c r="D25" s="1" t="s">
        <v>41</v>
      </c>
      <c r="I25" s="1" t="s">
        <v>42</v>
      </c>
      <c r="S25" s="1" t="s">
        <v>37</v>
      </c>
    </row>
    <row r="26" customFormat="false" ht="15" hidden="false" customHeight="false" outlineLevel="0" collapsed="false">
      <c r="B26" s="1" t="s">
        <v>43</v>
      </c>
      <c r="D26" s="1" t="s">
        <v>44</v>
      </c>
      <c r="E26" s="1" t="s">
        <v>45</v>
      </c>
      <c r="F26" s="1" t="s">
        <v>46</v>
      </c>
      <c r="G26" s="1" t="s">
        <v>47</v>
      </c>
    </row>
    <row r="27" customFormat="false" ht="15" hidden="false" customHeight="false" outlineLevel="0" collapsed="false">
      <c r="A27" s="1" t="s">
        <v>25</v>
      </c>
      <c r="D27" s="0" t="n">
        <v>3</v>
      </c>
      <c r="E27" s="0" t="n">
        <v>8</v>
      </c>
      <c r="F27" s="0" t="n">
        <v>6</v>
      </c>
      <c r="G27" s="0" t="n">
        <v>3</v>
      </c>
      <c r="S27" s="0" t="n">
        <f aca="false">SUM(D27:R27)</f>
        <v>20</v>
      </c>
    </row>
    <row r="28" customFormat="false" ht="15" hidden="false" customHeight="false" outlineLevel="0" collapsed="false">
      <c r="A28" s="1" t="s">
        <v>19</v>
      </c>
      <c r="B28" s="1" t="s">
        <v>40</v>
      </c>
      <c r="D28" s="0" t="s">
        <v>48</v>
      </c>
      <c r="P28" s="0" t="s">
        <v>49</v>
      </c>
      <c r="S28" s="1" t="s">
        <v>37</v>
      </c>
    </row>
    <row r="29" customFormat="false" ht="15" hidden="false" customHeight="false" outlineLevel="0" collapsed="false">
      <c r="B29" s="1" t="s">
        <v>43</v>
      </c>
      <c r="D29" s="1" t="s">
        <v>50</v>
      </c>
      <c r="E29" s="1" t="s">
        <v>51</v>
      </c>
      <c r="R29" s="1" t="s">
        <v>27</v>
      </c>
    </row>
    <row r="30" customFormat="false" ht="15" hidden="false" customHeight="false" outlineLevel="0" collapsed="false">
      <c r="A30" s="1" t="s">
        <v>25</v>
      </c>
      <c r="D30" s="0" t="n">
        <v>2</v>
      </c>
      <c r="E30" s="0" t="n">
        <v>1</v>
      </c>
      <c r="R30" s="0" t="n">
        <v>1</v>
      </c>
      <c r="S30" s="0" t="n">
        <f aca="false">SUM(D30:R30)</f>
        <v>4</v>
      </c>
    </row>
    <row r="31" customFormat="false" ht="15" hidden="false" customHeight="false" outlineLevel="0" collapsed="false">
      <c r="P31" s="1" t="s">
        <v>52</v>
      </c>
      <c r="S31" s="0" t="n">
        <f aca="false">S27+S30</f>
        <v>24</v>
      </c>
    </row>
    <row r="32" customFormat="false" ht="15" hidden="false" customHeight="false" outlineLevel="0" collapsed="false">
      <c r="A32" s="0" t="s">
        <v>53</v>
      </c>
      <c r="R32" s="0" t="s">
        <v>18</v>
      </c>
    </row>
    <row r="33" customFormat="false" ht="15" hidden="false" customHeight="false" outlineLevel="0" collapsed="false">
      <c r="A33" s="1" t="s">
        <v>19</v>
      </c>
      <c r="D33" s="1" t="s">
        <v>54</v>
      </c>
      <c r="S33" s="1" t="s">
        <v>55</v>
      </c>
    </row>
    <row r="34" customFormat="false" ht="15" hidden="false" customHeight="false" outlineLevel="0" collapsed="false">
      <c r="D34" s="1" t="s">
        <v>44</v>
      </c>
      <c r="E34" s="1" t="s">
        <v>45</v>
      </c>
      <c r="F34" s="1" t="s">
        <v>46</v>
      </c>
      <c r="G34" s="1" t="s">
        <v>47</v>
      </c>
    </row>
    <row r="35" customFormat="false" ht="15" hidden="false" customHeight="false" outlineLevel="0" collapsed="false">
      <c r="A35" s="1" t="s">
        <v>56</v>
      </c>
      <c r="D35" s="0" t="n">
        <f aca="false">10320*209</f>
        <v>2156880</v>
      </c>
      <c r="E35" s="0" t="n">
        <f aca="false">10320*209</f>
        <v>2156880</v>
      </c>
      <c r="F35" s="0" t="n">
        <f aca="false">10320*209</f>
        <v>2156880</v>
      </c>
      <c r="G35" s="0" t="n">
        <f aca="false">10320*209</f>
        <v>2156880</v>
      </c>
    </row>
    <row r="36" customFormat="false" ht="15" hidden="false" customHeight="false" outlineLevel="0" collapsed="false">
      <c r="A36" s="1" t="s">
        <v>57</v>
      </c>
    </row>
    <row r="37" customFormat="false" ht="15" hidden="false" customHeight="false" outlineLevel="0" collapsed="false">
      <c r="A37" s="1" t="s">
        <v>58</v>
      </c>
    </row>
    <row r="38" customFormat="false" ht="15" hidden="false" customHeight="false" outlineLevel="0" collapsed="false">
      <c r="A38" s="1" t="s">
        <v>59</v>
      </c>
      <c r="F38" s="0" t="n">
        <v>20000</v>
      </c>
      <c r="G38" s="0" t="n">
        <v>40000</v>
      </c>
    </row>
    <row r="39" customFormat="false" ht="15" hidden="false" customHeight="false" outlineLevel="0" collapsed="false">
      <c r="A39" s="1" t="s">
        <v>60</v>
      </c>
      <c r="D39" s="0" t="n">
        <v>90000</v>
      </c>
      <c r="E39" s="0" t="n">
        <v>90000</v>
      </c>
      <c r="F39" s="0" t="n">
        <v>90000</v>
      </c>
      <c r="G39" s="0" t="n">
        <v>90000</v>
      </c>
    </row>
    <row r="40" customFormat="false" ht="15" hidden="false" customHeight="false" outlineLevel="0" collapsed="false">
      <c r="A40" s="1" t="s">
        <v>61</v>
      </c>
    </row>
    <row r="41" customFormat="false" ht="15" hidden="false" customHeight="false" outlineLevel="0" collapsed="false">
      <c r="A41" s="1" t="s">
        <v>62</v>
      </c>
      <c r="D41" s="0" t="n">
        <f aca="false">SUM(D35:D40)</f>
        <v>2246880</v>
      </c>
      <c r="E41" s="0" t="n">
        <f aca="false">SUM(E35:E40)</f>
        <v>2246880</v>
      </c>
      <c r="F41" s="0" t="n">
        <f aca="false">SUM(F35:F40)</f>
        <v>2266880</v>
      </c>
      <c r="G41" s="0" t="n">
        <f aca="false">SUM(G35:G40)</f>
        <v>2286880</v>
      </c>
      <c r="H41" s="0" t="n">
        <f aca="false">SUM(H35:H40)</f>
        <v>0</v>
      </c>
      <c r="I41" s="0" t="n">
        <f aca="false">SUM(I35:I40)</f>
        <v>0</v>
      </c>
      <c r="J41" s="0" t="n">
        <f aca="false">SUM(J35:J40)</f>
        <v>0</v>
      </c>
      <c r="K41" s="0" t="n">
        <f aca="false">SUM(K35:K40)</f>
        <v>0</v>
      </c>
      <c r="L41" s="0" t="n">
        <f aca="false">SUM(L35:L40)</f>
        <v>0</v>
      </c>
      <c r="M41" s="0" t="n">
        <f aca="false">SUM(M35:M40)</f>
        <v>0</v>
      </c>
      <c r="N41" s="0" t="n">
        <f aca="false">SUM(N35:N40)</f>
        <v>0</v>
      </c>
      <c r="O41" s="0" t="n">
        <f aca="false">SUM(O35:O40)</f>
        <v>0</v>
      </c>
      <c r="P41" s="0" t="n">
        <f aca="false">SUM(P35:P40)</f>
        <v>0</v>
      </c>
      <c r="Q41" s="0" t="n">
        <f aca="false">SUM(Q35:Q40)</f>
        <v>0</v>
      </c>
      <c r="R41" s="0" t="n">
        <f aca="false">SUM(R35:R40)</f>
        <v>0</v>
      </c>
    </row>
    <row r="42" customFormat="false" ht="15" hidden="false" customHeight="false" outlineLevel="0" collapsed="false">
      <c r="A42" s="1" t="s">
        <v>63</v>
      </c>
      <c r="C42" s="0" t="s">
        <v>64</v>
      </c>
      <c r="D42" s="0" t="n">
        <v>120000</v>
      </c>
      <c r="E42" s="0" t="n">
        <v>120000</v>
      </c>
      <c r="F42" s="0" t="n">
        <v>120000</v>
      </c>
      <c r="G42" s="0" t="n">
        <v>120000</v>
      </c>
      <c r="S42" s="1" t="s">
        <v>65</v>
      </c>
    </row>
    <row r="43" customFormat="false" ht="15" hidden="false" customHeight="false" outlineLevel="0" collapsed="false">
      <c r="C43" s="0" t="s">
        <v>66</v>
      </c>
      <c r="D43" s="0" t="n">
        <v>90000</v>
      </c>
      <c r="E43" s="0" t="n">
        <v>90000</v>
      </c>
      <c r="F43" s="0" t="n">
        <v>90000</v>
      </c>
      <c r="G43" s="0" t="n">
        <v>90000</v>
      </c>
    </row>
    <row r="44" customFormat="false" ht="15" hidden="false" customHeight="false" outlineLevel="0" collapsed="false">
      <c r="C44" s="0" t="s">
        <v>67</v>
      </c>
      <c r="D44" s="0" t="n">
        <v>60000</v>
      </c>
      <c r="E44" s="0" t="n">
        <v>60000</v>
      </c>
      <c r="F44" s="0" t="n">
        <v>60000</v>
      </c>
      <c r="G44" s="0" t="n">
        <v>60000</v>
      </c>
    </row>
    <row r="45" customFormat="false" ht="15" hidden="false" customHeight="false" outlineLevel="0" collapsed="false">
      <c r="C45" s="0" t="s">
        <v>68</v>
      </c>
      <c r="D45" s="0" t="n">
        <v>30000</v>
      </c>
      <c r="E45" s="0" t="n">
        <v>30000</v>
      </c>
      <c r="F45" s="0" t="n">
        <v>30000</v>
      </c>
      <c r="G45" s="0" t="n">
        <v>30000</v>
      </c>
    </row>
    <row r="46" customFormat="false" ht="15" hidden="false" customHeight="false" outlineLevel="0" collapsed="false">
      <c r="C46" s="0" t="s">
        <v>69</v>
      </c>
      <c r="D46" s="0" t="n">
        <v>10000</v>
      </c>
      <c r="E46" s="0" t="n">
        <v>10000</v>
      </c>
      <c r="F46" s="0" t="n">
        <v>10000</v>
      </c>
      <c r="G46" s="0" t="n">
        <v>10000</v>
      </c>
    </row>
    <row r="47" customFormat="false" ht="15" hidden="false" customHeight="false" outlineLevel="0" collapsed="false">
      <c r="C47" s="0" t="s">
        <v>70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</row>
    <row r="48" customFormat="false" ht="15" hidden="false" customHeight="false" outlineLevel="0" collapsed="false">
      <c r="A48" s="1" t="s">
        <v>71</v>
      </c>
      <c r="E48" s="0" t="n">
        <f aca="false">ROUNDUP(E53*2,-1)</f>
        <v>32260</v>
      </c>
      <c r="F48" s="0" t="n">
        <f aca="false">ROUNDUP(F53*2,-1)</f>
        <v>32540</v>
      </c>
      <c r="G48" s="0" t="n">
        <f aca="false">ROUNDUP(G53*2,-1)</f>
        <v>32830</v>
      </c>
      <c r="S48" s="0" t="s">
        <v>72</v>
      </c>
    </row>
    <row r="49" customFormat="false" ht="15" hidden="false" customHeight="false" outlineLevel="0" collapsed="false">
      <c r="A49" s="1" t="s">
        <v>73</v>
      </c>
    </row>
    <row r="50" customFormat="false" ht="15" hidden="false" customHeight="false" outlineLevel="0" collapsed="false">
      <c r="A50" s="1" t="s">
        <v>74</v>
      </c>
    </row>
    <row r="51" customFormat="false" ht="15" hidden="false" customHeight="false" outlineLevel="0" collapsed="false">
      <c r="A51" s="1" t="s">
        <v>75</v>
      </c>
      <c r="D51" s="0" t="n">
        <f aca="false">D41+D44+SUM(D48:D50)</f>
        <v>2306880</v>
      </c>
      <c r="E51" s="0" t="n">
        <f aca="false">E41+E44+SUM(E48:E50)</f>
        <v>2339140</v>
      </c>
      <c r="F51" s="0" t="n">
        <f aca="false">F41+F44+SUM(F48:F50)</f>
        <v>2359420</v>
      </c>
      <c r="G51" s="0" t="n">
        <f aca="false">G41+G44+SUM(G48:G50)</f>
        <v>2379710</v>
      </c>
      <c r="H51" s="0" t="n">
        <f aca="false">H41+H44+SUM(H48:H50)</f>
        <v>0</v>
      </c>
      <c r="I51" s="0" t="n">
        <f aca="false">I41+I44+SUM(I48:I50)</f>
        <v>0</v>
      </c>
      <c r="J51" s="0" t="n">
        <f aca="false">J41+J44+SUM(J48:J50)</f>
        <v>0</v>
      </c>
      <c r="K51" s="0" t="n">
        <f aca="false">K41+K44+SUM(K48:K50)</f>
        <v>0</v>
      </c>
      <c r="L51" s="0" t="n">
        <f aca="false">L41+L44+SUM(L48:L50)</f>
        <v>0</v>
      </c>
      <c r="M51" s="0" t="n">
        <f aca="false">M41+M44+SUM(M48:M50)</f>
        <v>0</v>
      </c>
      <c r="N51" s="0" t="n">
        <f aca="false">N41+N44+SUM(N48:N50)</f>
        <v>0</v>
      </c>
      <c r="O51" s="0" t="n">
        <f aca="false">O41+O44+SUM(O48:O50)</f>
        <v>0</v>
      </c>
      <c r="P51" s="0" t="n">
        <f aca="false">P41+P44+SUM(P48:P50)</f>
        <v>0</v>
      </c>
      <c r="Q51" s="0" t="n">
        <f aca="false">Q41+Q44+SUM(Q48:Q50)</f>
        <v>0</v>
      </c>
      <c r="R51" s="0" t="n">
        <f aca="false">R41+R44+SUM(R48:R50)</f>
        <v>0</v>
      </c>
      <c r="S51" s="0" t="s">
        <v>76</v>
      </c>
    </row>
    <row r="52" customFormat="false" ht="15" hidden="false" customHeight="false" outlineLevel="0" collapsed="false">
      <c r="A52" s="1" t="s">
        <v>77</v>
      </c>
      <c r="D52" s="0" t="n">
        <f aca="false">D41/209*8</f>
        <v>86004.976076555</v>
      </c>
      <c r="E52" s="0" t="n">
        <f aca="false">E41/209*8</f>
        <v>86004.976076555</v>
      </c>
      <c r="F52" s="0" t="n">
        <f aca="false">F41/209*8</f>
        <v>86770.5263157895</v>
      </c>
      <c r="G52" s="0" t="n">
        <f aca="false">G41/209*8</f>
        <v>87536.0765550239</v>
      </c>
      <c r="H52" s="0" t="n">
        <f aca="false">H41/209*8</f>
        <v>0</v>
      </c>
      <c r="I52" s="0" t="n">
        <f aca="false">I41/209*8</f>
        <v>0</v>
      </c>
      <c r="J52" s="0" t="n">
        <f aca="false">J41/209*8</f>
        <v>0</v>
      </c>
      <c r="K52" s="0" t="n">
        <f aca="false">K41/209*8</f>
        <v>0</v>
      </c>
      <c r="L52" s="0" t="n">
        <f aca="false">L41/209*8</f>
        <v>0</v>
      </c>
      <c r="M52" s="0" t="n">
        <f aca="false">M41/209*8</f>
        <v>0</v>
      </c>
      <c r="N52" s="0" t="n">
        <f aca="false">N41/209*8</f>
        <v>0</v>
      </c>
      <c r="O52" s="0" t="n">
        <f aca="false">O41/209*8</f>
        <v>0</v>
      </c>
      <c r="P52" s="0" t="n">
        <f aca="false">P41/209*8</f>
        <v>0</v>
      </c>
      <c r="Q52" s="0" t="n">
        <f aca="false">Q41/209*8</f>
        <v>0</v>
      </c>
      <c r="R52" s="0" t="n">
        <f aca="false">R41/209*8</f>
        <v>0</v>
      </c>
    </row>
    <row r="53" customFormat="false" ht="15" hidden="false" customHeight="false" outlineLevel="0" collapsed="false">
      <c r="A53" s="1" t="s">
        <v>78</v>
      </c>
      <c r="D53" s="0" t="n">
        <f aca="false">D41/209*1.5</f>
        <v>16125.9330143541</v>
      </c>
      <c r="E53" s="0" t="n">
        <f aca="false">E41/209*1.5</f>
        <v>16125.9330143541</v>
      </c>
      <c r="F53" s="0" t="n">
        <f aca="false">F41/209*1.5</f>
        <v>16269.4736842105</v>
      </c>
      <c r="G53" s="0" t="n">
        <f aca="false">G41/209*1.5</f>
        <v>16413.014354067</v>
      </c>
      <c r="H53" s="0" t="n">
        <f aca="false">H41/209*1.5</f>
        <v>0</v>
      </c>
      <c r="I53" s="0" t="n">
        <f aca="false">I41/209*1.5</f>
        <v>0</v>
      </c>
      <c r="J53" s="0" t="n">
        <f aca="false">J41/209*1.5</f>
        <v>0</v>
      </c>
      <c r="K53" s="0" t="n">
        <f aca="false">K41/209*1.5</f>
        <v>0</v>
      </c>
      <c r="L53" s="0" t="n">
        <f aca="false">L41/209*1.5</f>
        <v>0</v>
      </c>
      <c r="M53" s="0" t="n">
        <f aca="false">M41/209*1.5</f>
        <v>0</v>
      </c>
      <c r="N53" s="0" t="n">
        <f aca="false">N41/209*1.5</f>
        <v>0</v>
      </c>
      <c r="O53" s="0" t="n">
        <f aca="false">O41/209*1.5</f>
        <v>0</v>
      </c>
      <c r="P53" s="0" t="n">
        <f aca="false">P41/209*1.5</f>
        <v>0</v>
      </c>
      <c r="Q53" s="0" t="n">
        <f aca="false">Q41/209*1.5</f>
        <v>0</v>
      </c>
      <c r="R53" s="0" t="n">
        <f aca="false">R41/209*1.5</f>
        <v>0</v>
      </c>
    </row>
    <row r="54" customFormat="false" ht="15" hidden="false" customHeight="false" outlineLevel="0" collapsed="false">
      <c r="A54" s="1" t="s">
        <v>79</v>
      </c>
      <c r="D54" s="0" t="n">
        <f aca="false">D41/209*1.5</f>
        <v>16125.9330143541</v>
      </c>
      <c r="E54" s="0" t="n">
        <f aca="false">E41/209*1.5</f>
        <v>16125.9330143541</v>
      </c>
      <c r="F54" s="0" t="n">
        <f aca="false">F41/209*1.5</f>
        <v>16269.4736842105</v>
      </c>
      <c r="G54" s="0" t="n">
        <f aca="false">G41/209*1.5</f>
        <v>16413.014354067</v>
      </c>
      <c r="H54" s="0" t="n">
        <f aca="false">H41/209*1.5</f>
        <v>0</v>
      </c>
      <c r="I54" s="0" t="n">
        <f aca="false">I41/209*1.5</f>
        <v>0</v>
      </c>
      <c r="J54" s="0" t="n">
        <f aca="false">J41/209*1.5</f>
        <v>0</v>
      </c>
      <c r="K54" s="0" t="n">
        <f aca="false">K41/209*1.5</f>
        <v>0</v>
      </c>
      <c r="L54" s="0" t="n">
        <f aca="false">L41/209*1.5</f>
        <v>0</v>
      </c>
      <c r="M54" s="0" t="n">
        <f aca="false">M41/209*1.5</f>
        <v>0</v>
      </c>
      <c r="N54" s="0" t="n">
        <f aca="false">N41/209*1.5</f>
        <v>0</v>
      </c>
      <c r="O54" s="0" t="n">
        <f aca="false">O41/209*1.5</f>
        <v>0</v>
      </c>
      <c r="P54" s="0" t="n">
        <f aca="false">P41/209*1.5</f>
        <v>0</v>
      </c>
      <c r="Q54" s="0" t="n">
        <f aca="false">Q41/209*1.5</f>
        <v>0</v>
      </c>
      <c r="R54" s="0" t="n">
        <f aca="false">R41/209*1.5</f>
        <v>0</v>
      </c>
    </row>
    <row r="55" customFormat="false" ht="15" hidden="false" customHeight="false" outlineLevel="0" collapsed="false">
      <c r="A55" s="1" t="s">
        <v>80</v>
      </c>
      <c r="D55" s="0" t="n">
        <f aca="false">D41/209*0.5</f>
        <v>5375.31100478469</v>
      </c>
      <c r="E55" s="0" t="n">
        <f aca="false">E41/209*0.5</f>
        <v>5375.31100478469</v>
      </c>
      <c r="F55" s="0" t="n">
        <f aca="false">F41/209*0.5</f>
        <v>5423.15789473684</v>
      </c>
      <c r="G55" s="0" t="n">
        <f aca="false">G41/209*0.5</f>
        <v>5471.004784689</v>
      </c>
      <c r="H55" s="0" t="n">
        <f aca="false">H41/209*0.5</f>
        <v>0</v>
      </c>
      <c r="I55" s="0" t="n">
        <f aca="false">I41/209*0.5</f>
        <v>0</v>
      </c>
      <c r="J55" s="0" t="n">
        <f aca="false">J41/209*0.5</f>
        <v>0</v>
      </c>
      <c r="K55" s="0" t="n">
        <f aca="false">K41/209*0.5</f>
        <v>0</v>
      </c>
      <c r="L55" s="0" t="n">
        <f aca="false">L41/209*0.5</f>
        <v>0</v>
      </c>
      <c r="M55" s="0" t="n">
        <f aca="false">M41/209*0.5</f>
        <v>0</v>
      </c>
      <c r="N55" s="0" t="n">
        <f aca="false">N41/209*0.5</f>
        <v>0</v>
      </c>
      <c r="O55" s="0" t="n">
        <f aca="false">O41/209*0.5</f>
        <v>0</v>
      </c>
      <c r="P55" s="0" t="n">
        <f aca="false">P41/209*0.5</f>
        <v>0</v>
      </c>
      <c r="Q55" s="0" t="n">
        <f aca="false">Q41/209*0.5</f>
        <v>0</v>
      </c>
      <c r="R55" s="0" t="n">
        <f aca="false">R41/209*0.5</f>
        <v>0</v>
      </c>
    </row>
    <row r="56" customFormat="false" ht="15" hidden="false" customHeight="false" outlineLevel="0" collapsed="false">
      <c r="A56" s="1" t="s">
        <v>81</v>
      </c>
      <c r="D56" s="0" t="n">
        <f aca="false">D51*12</f>
        <v>27682560</v>
      </c>
      <c r="E56" s="0" t="n">
        <f aca="false">E51*12</f>
        <v>28069680</v>
      </c>
      <c r="F56" s="0" t="n">
        <f aca="false">F51*12</f>
        <v>28313040</v>
      </c>
      <c r="G56" s="0" t="n">
        <f aca="false">G51*12</f>
        <v>28556520</v>
      </c>
      <c r="H56" s="0" t="n">
        <f aca="false">H51*12</f>
        <v>0</v>
      </c>
      <c r="I56" s="0" t="n">
        <f aca="false">I51*12</f>
        <v>0</v>
      </c>
      <c r="J56" s="0" t="n">
        <f aca="false">J51*12</f>
        <v>0</v>
      </c>
      <c r="K56" s="0" t="n">
        <f aca="false">K51*12</f>
        <v>0</v>
      </c>
      <c r="L56" s="0" t="n">
        <f aca="false">L51*12</f>
        <v>0</v>
      </c>
      <c r="M56" s="0" t="n">
        <f aca="false">M51*12</f>
        <v>0</v>
      </c>
      <c r="N56" s="0" t="n">
        <f aca="false">N51*12</f>
        <v>0</v>
      </c>
      <c r="O56" s="0" t="n">
        <f aca="false">O51*12</f>
        <v>0</v>
      </c>
      <c r="P56" s="0" t="n">
        <f aca="false">P51*12</f>
        <v>0</v>
      </c>
      <c r="Q56" s="0" t="n">
        <f aca="false">Q51*12</f>
        <v>0</v>
      </c>
      <c r="R56" s="0" t="n">
        <f aca="false">R51*12</f>
        <v>0</v>
      </c>
      <c r="S56" s="0" t="s">
        <v>76</v>
      </c>
    </row>
    <row r="57" customFormat="false" ht="15" hidden="false" customHeight="false" outlineLevel="0" collapsed="false">
      <c r="A57" s="1" t="s">
        <v>82</v>
      </c>
      <c r="D57" s="0" t="n">
        <f aca="false">D56*D27</f>
        <v>83047680</v>
      </c>
      <c r="E57" s="0" t="n">
        <f aca="false">E56*E27</f>
        <v>224557440</v>
      </c>
      <c r="F57" s="0" t="n">
        <f aca="false">F56*F27</f>
        <v>169878240</v>
      </c>
      <c r="G57" s="0" t="n">
        <f aca="false">G56*G27</f>
        <v>85669560</v>
      </c>
      <c r="H57" s="0" t="n">
        <f aca="false">H56*H27</f>
        <v>0</v>
      </c>
      <c r="I57" s="0" t="n">
        <f aca="false">I56*I27</f>
        <v>0</v>
      </c>
      <c r="J57" s="0" t="n">
        <f aca="false">J56*J27</f>
        <v>0</v>
      </c>
      <c r="K57" s="0" t="n">
        <f aca="false">K56*K27</f>
        <v>0</v>
      </c>
      <c r="L57" s="0" t="n">
        <f aca="false">L56*L27</f>
        <v>0</v>
      </c>
      <c r="M57" s="0" t="n">
        <f aca="false">M56*M27</f>
        <v>0</v>
      </c>
      <c r="N57" s="0" t="n">
        <f aca="false">N56*N27</f>
        <v>0</v>
      </c>
      <c r="O57" s="0" t="n">
        <f aca="false">O56*O27</f>
        <v>0</v>
      </c>
      <c r="P57" s="0" t="n">
        <f aca="false">P56*P27</f>
        <v>0</v>
      </c>
      <c r="Q57" s="0" t="n">
        <f aca="false">Q56*Q27</f>
        <v>0</v>
      </c>
      <c r="R57" s="0" t="n">
        <f aca="false">R56*R27</f>
        <v>0</v>
      </c>
      <c r="S57" s="0" t="n">
        <f aca="false">SUM(D57:R57)</f>
        <v>563152920</v>
      </c>
    </row>
    <row r="58" customFormat="false" ht="15" hidden="false" customHeight="false" outlineLevel="0" collapsed="false">
      <c r="A58" s="1" t="s">
        <v>83</v>
      </c>
      <c r="D58" s="0" t="n">
        <f aca="false">D41+D46+D48+D49+D50+$C$62-D39</f>
        <v>2166880</v>
      </c>
      <c r="E58" s="0" t="n">
        <f aca="false">E41+E46+E48+E49+E50+$C$62-E39</f>
        <v>2199140</v>
      </c>
      <c r="F58" s="0" t="n">
        <f aca="false">F41+F46+F48+F49+F50+$C$62-F39</f>
        <v>2219420</v>
      </c>
      <c r="G58" s="0" t="n">
        <f aca="false">G41+G46+G48+G49+G50+$C$62-G39</f>
        <v>2239710</v>
      </c>
      <c r="H58" s="0" t="n">
        <f aca="false">H41+H46+H48+H49+H50+$C$62-H39</f>
        <v>0</v>
      </c>
      <c r="I58" s="0" t="n">
        <f aca="false">I41+I46+I48+I49+I50+$C$62-I39</f>
        <v>0</v>
      </c>
      <c r="J58" s="0" t="n">
        <f aca="false">J41+J46+J48+J49+J50+$C$62-J39</f>
        <v>0</v>
      </c>
      <c r="K58" s="0" t="n">
        <f aca="false">K41+K46+K48+K49+K50+$C$62-K39</f>
        <v>0</v>
      </c>
      <c r="L58" s="0" t="n">
        <f aca="false">L41+L46+L48+L49+L50+$C$62-L39</f>
        <v>0</v>
      </c>
      <c r="M58" s="0" t="n">
        <f aca="false">M41+M46+M48+M49+M50+$C$62-M39</f>
        <v>0</v>
      </c>
      <c r="N58" s="0" t="n">
        <f aca="false">N41+N46+N48+N49+N50+$C$62-N39</f>
        <v>0</v>
      </c>
      <c r="O58" s="0" t="n">
        <f aca="false">O41+O46+O48+O49+O50+$C$62-O39</f>
        <v>0</v>
      </c>
      <c r="P58" s="0" t="n">
        <f aca="false">P41+P46+P48+P49+P50+$C$62-P39</f>
        <v>0</v>
      </c>
      <c r="Q58" s="0" t="n">
        <f aca="false">Q41+Q46+Q48+Q49+Q50+$C$62-Q39</f>
        <v>0</v>
      </c>
      <c r="R58" s="0" t="n">
        <f aca="false">R41+R46+R48+R49+R50+$C$62-R39</f>
        <v>0</v>
      </c>
      <c r="S58" s="0" t="s">
        <v>84</v>
      </c>
    </row>
    <row r="59" customFormat="false" ht="15" hidden="false" customHeight="false" outlineLevel="0" collapsed="false">
      <c r="A59" s="1" t="s">
        <v>85</v>
      </c>
      <c r="D59" s="0" t="n">
        <f aca="false">D41+D44+D48+D49+D50+$C$62</f>
        <v>2306880</v>
      </c>
      <c r="E59" s="0" t="n">
        <f aca="false">E41+E44+E48+E49+E50+$C$62</f>
        <v>2339140</v>
      </c>
      <c r="F59" s="0" t="n">
        <f aca="false">F41+F44+F48+F49+F50+$C$62</f>
        <v>2359420</v>
      </c>
      <c r="G59" s="0" t="n">
        <f aca="false">G41+G44+G48+G49+G50+$C$62</f>
        <v>2379710</v>
      </c>
      <c r="H59" s="0" t="n">
        <f aca="false">H41+H44+H48+H49+H50+$C$62</f>
        <v>0</v>
      </c>
      <c r="I59" s="0" t="n">
        <f aca="false">I41+I44+I48+I49+I50+$C$62</f>
        <v>0</v>
      </c>
      <c r="J59" s="0" t="n">
        <f aca="false">J41+J44+J48+J49+J50+$C$62</f>
        <v>0</v>
      </c>
      <c r="K59" s="0" t="n">
        <f aca="false">K41+K44+K48+K49+K50+$C$62</f>
        <v>0</v>
      </c>
      <c r="L59" s="0" t="n">
        <f aca="false">L41+L44+L48+L49+L50+$C$62</f>
        <v>0</v>
      </c>
      <c r="M59" s="0" t="n">
        <f aca="false">M41+M44+M48+M49+M50+$C$62</f>
        <v>0</v>
      </c>
      <c r="N59" s="0" t="n">
        <f aca="false">N41+N44+N48+N49+N50+$C$62</f>
        <v>0</v>
      </c>
      <c r="O59" s="0" t="n">
        <f aca="false">O41+O44+O48+O49+O50+$C$62</f>
        <v>0</v>
      </c>
      <c r="P59" s="0" t="n">
        <f aca="false">P41+P44+P48+P49+P50+$C$62</f>
        <v>0</v>
      </c>
      <c r="Q59" s="0" t="n">
        <f aca="false">Q41+Q44+Q48+Q49+Q50+$C$62</f>
        <v>0</v>
      </c>
      <c r="R59" s="0" t="n">
        <f aca="false">R41+R44+R48+R49+R50+$C$62</f>
        <v>0</v>
      </c>
      <c r="S59" s="0" t="s">
        <v>76</v>
      </c>
    </row>
    <row r="61" customFormat="false" ht="15" hidden="false" customHeight="false" outlineLevel="0" collapsed="false">
      <c r="A61" s="1" t="s">
        <v>86</v>
      </c>
      <c r="D61" s="0" t="n">
        <f aca="false">D51-'급여테이블(변경전)'!D51</f>
        <v>0</v>
      </c>
      <c r="E61" s="0" t="n">
        <f aca="false">E51-'급여테이블(변경전)'!E51</f>
        <v>0</v>
      </c>
      <c r="F61" s="0" t="n">
        <f aca="false">F51-'급여테이블(변경전)'!F51</f>
        <v>0</v>
      </c>
      <c r="G61" s="0" t="n">
        <f aca="false">G51-'급여테이블(변경전)'!G51</f>
        <v>0</v>
      </c>
    </row>
    <row r="62" customFormat="false" ht="15" hidden="false" customHeight="false" outlineLevel="0" collapsed="false">
      <c r="C62" s="0" t="n">
        <v>0</v>
      </c>
    </row>
    <row r="63" customFormat="false" ht="15" hidden="false" customHeight="false" outlineLevel="0" collapsed="false">
      <c r="A63" s="1" t="s">
        <v>87</v>
      </c>
      <c r="R63" s="0" t="s">
        <v>18</v>
      </c>
    </row>
    <row r="64" customFormat="false" ht="15" hidden="false" customHeight="false" outlineLevel="0" collapsed="false">
      <c r="A64" s="1" t="s">
        <v>19</v>
      </c>
      <c r="D64" s="0" t="s">
        <v>48</v>
      </c>
      <c r="P64" s="0" t="s">
        <v>49</v>
      </c>
      <c r="S64" s="1" t="s">
        <v>55</v>
      </c>
    </row>
    <row r="65" customFormat="false" ht="15" hidden="false" customHeight="false" outlineLevel="0" collapsed="false">
      <c r="D65" s="1" t="s">
        <v>30</v>
      </c>
      <c r="E65" s="1" t="s">
        <v>88</v>
      </c>
      <c r="Q65" s="1" t="s">
        <v>27</v>
      </c>
    </row>
    <row r="66" customFormat="false" ht="15" hidden="false" customHeight="false" outlineLevel="0" collapsed="false">
      <c r="A66" s="1" t="s">
        <v>56</v>
      </c>
      <c r="D66" s="0" t="n">
        <f aca="false">10320*209</f>
        <v>2156880</v>
      </c>
      <c r="E66" s="0" t="n">
        <f aca="false">10320*209</f>
        <v>2156880</v>
      </c>
      <c r="Q66" s="0" t="n">
        <f aca="false">10320*209</f>
        <v>2156880</v>
      </c>
    </row>
    <row r="67" customFormat="false" ht="15" hidden="false" customHeight="false" outlineLevel="0" collapsed="false">
      <c r="A67" s="1" t="s">
        <v>57</v>
      </c>
      <c r="D67" s="0" t="n">
        <v>200000</v>
      </c>
      <c r="E67" s="0" t="n">
        <v>150000</v>
      </c>
      <c r="Q67" s="0" t="n">
        <v>400000</v>
      </c>
    </row>
    <row r="68" customFormat="false" ht="15" hidden="false" customHeight="false" outlineLevel="0" collapsed="false">
      <c r="A68" s="1" t="s">
        <v>58</v>
      </c>
      <c r="D68" s="0" t="n">
        <v>150000</v>
      </c>
      <c r="E68" s="0" t="n">
        <v>100000</v>
      </c>
      <c r="Q68" s="0" t="n">
        <v>300000</v>
      </c>
    </row>
    <row r="69" customFormat="false" ht="15" hidden="false" customHeight="false" outlineLevel="0" collapsed="false">
      <c r="A69" s="1" t="s">
        <v>59</v>
      </c>
      <c r="D69" s="0" t="n">
        <v>50000</v>
      </c>
      <c r="E69" s="0" t="n">
        <v>30000</v>
      </c>
      <c r="Q69" s="0" t="n">
        <v>80000</v>
      </c>
    </row>
    <row r="70" customFormat="false" ht="15" hidden="false" customHeight="false" outlineLevel="0" collapsed="false">
      <c r="A70" s="1" t="s">
        <v>60</v>
      </c>
      <c r="D70" s="0" t="n">
        <v>90000</v>
      </c>
      <c r="E70" s="0" t="n">
        <v>90000</v>
      </c>
      <c r="Q70" s="0" t="n">
        <v>90000</v>
      </c>
    </row>
    <row r="71" customFormat="false" ht="15" hidden="false" customHeight="false" outlineLevel="0" collapsed="false">
      <c r="A71" s="1" t="s">
        <v>61</v>
      </c>
    </row>
    <row r="72" customFormat="false" ht="15" hidden="false" customHeight="false" outlineLevel="0" collapsed="false">
      <c r="A72" s="1" t="s">
        <v>62</v>
      </c>
      <c r="D72" s="0" t="n">
        <f aca="false">SUM(D66:D71)</f>
        <v>2646880</v>
      </c>
      <c r="E72" s="0" t="n">
        <f aca="false">SUM(E66:E71)</f>
        <v>2526880</v>
      </c>
      <c r="F72" s="0" t="n">
        <f aca="false">SUM(F66:F71)</f>
        <v>0</v>
      </c>
      <c r="G72" s="0" t="n">
        <f aca="false">SUM(G66:G71)</f>
        <v>0</v>
      </c>
      <c r="H72" s="0" t="n">
        <f aca="false">SUM(H66:H71)</f>
        <v>0</v>
      </c>
      <c r="I72" s="0" t="n">
        <f aca="false">SUM(I66:I71)</f>
        <v>0</v>
      </c>
      <c r="J72" s="0" t="n">
        <f aca="false">SUM(J66:J71)</f>
        <v>0</v>
      </c>
      <c r="K72" s="0" t="n">
        <f aca="false">SUM(K66:K71)</f>
        <v>0</v>
      </c>
      <c r="L72" s="0" t="n">
        <f aca="false">SUM(L66:L71)</f>
        <v>0</v>
      </c>
      <c r="M72" s="0" t="n">
        <f aca="false">SUM(M66:M71)</f>
        <v>0</v>
      </c>
      <c r="N72" s="0" t="n">
        <f aca="false">SUM(N66:N71)</f>
        <v>0</v>
      </c>
      <c r="O72" s="0" t="n">
        <f aca="false">SUM(O66:O71)</f>
        <v>0</v>
      </c>
      <c r="P72" s="0" t="n">
        <f aca="false">SUM(P66:P71)</f>
        <v>0</v>
      </c>
      <c r="Q72" s="0" t="n">
        <f aca="false">SUM(Q66:Q71)</f>
        <v>3026880</v>
      </c>
      <c r="R72" s="0" t="n">
        <f aca="false">SUM(R66:R71)</f>
        <v>0</v>
      </c>
    </row>
    <row r="73" customFormat="false" ht="15" hidden="false" customHeight="false" outlineLevel="0" collapsed="false">
      <c r="A73" s="1" t="s">
        <v>63</v>
      </c>
      <c r="C73" s="0" t="s">
        <v>64</v>
      </c>
      <c r="D73" s="0" t="n">
        <v>200000</v>
      </c>
      <c r="E73" s="0" t="n">
        <v>200000</v>
      </c>
      <c r="Q73" s="0" t="n">
        <v>200000</v>
      </c>
      <c r="S73" s="1" t="s">
        <v>65</v>
      </c>
    </row>
    <row r="74" customFormat="false" ht="15" hidden="false" customHeight="false" outlineLevel="0" collapsed="false">
      <c r="C74" s="0" t="s">
        <v>66</v>
      </c>
      <c r="D74" s="0" t="n">
        <v>150000</v>
      </c>
      <c r="E74" s="0" t="n">
        <v>150000</v>
      </c>
      <c r="Q74" s="0" t="n">
        <v>150000</v>
      </c>
    </row>
    <row r="75" customFormat="false" ht="15" hidden="false" customHeight="false" outlineLevel="0" collapsed="false">
      <c r="C75" s="0" t="s">
        <v>67</v>
      </c>
      <c r="D75" s="0" t="n">
        <v>100000</v>
      </c>
      <c r="E75" s="0" t="n">
        <v>100000</v>
      </c>
      <c r="Q75" s="0" t="n">
        <v>100000</v>
      </c>
    </row>
    <row r="76" customFormat="false" ht="15" hidden="false" customHeight="false" outlineLevel="0" collapsed="false">
      <c r="C76" s="0" t="s">
        <v>68</v>
      </c>
      <c r="D76" s="0" t="n">
        <v>50000</v>
      </c>
      <c r="E76" s="0" t="n">
        <v>50000</v>
      </c>
      <c r="Q76" s="0" t="n">
        <v>50000</v>
      </c>
    </row>
    <row r="77" customFormat="false" ht="15" hidden="false" customHeight="false" outlineLevel="0" collapsed="false">
      <c r="C77" s="0" t="s">
        <v>69</v>
      </c>
      <c r="D77" s="0" t="n">
        <v>20000</v>
      </c>
      <c r="E77" s="0" t="n">
        <v>20000</v>
      </c>
      <c r="Q77" s="0" t="n">
        <v>20000</v>
      </c>
    </row>
    <row r="78" customFormat="false" ht="15" hidden="false" customHeight="false" outlineLevel="0" collapsed="false">
      <c r="C78" s="0" t="s">
        <v>70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</row>
    <row r="79" customFormat="false" ht="15" hidden="false" customHeight="false" outlineLevel="0" collapsed="false">
      <c r="A79" s="1" t="s">
        <v>71</v>
      </c>
      <c r="D79" s="0" t="n">
        <f aca="false">ROUNDUP(D84*5,-1)</f>
        <v>94990</v>
      </c>
      <c r="E79" s="0" t="n">
        <f aca="false">ROUNDUP(E84*5,-1)</f>
        <v>90680</v>
      </c>
      <c r="Q79" s="0" t="n">
        <f aca="false">ROUNDUP(Q84*5,-1)</f>
        <v>108630</v>
      </c>
      <c r="S79" s="1" t="s">
        <v>89</v>
      </c>
    </row>
    <row r="80" customFormat="false" ht="15" hidden="false" customHeight="false" outlineLevel="0" collapsed="false">
      <c r="A80" s="1" t="s">
        <v>73</v>
      </c>
    </row>
    <row r="81" customFormat="false" ht="15" hidden="false" customHeight="false" outlineLevel="0" collapsed="false">
      <c r="A81" s="1" t="s">
        <v>74</v>
      </c>
    </row>
    <row r="82" customFormat="false" ht="15" hidden="false" customHeight="false" outlineLevel="0" collapsed="false">
      <c r="A82" s="1" t="s">
        <v>75</v>
      </c>
      <c r="D82" s="0" t="n">
        <f aca="false">D72+D75+SUM(D79:D81)</f>
        <v>2841870</v>
      </c>
      <c r="E82" s="0" t="n">
        <f aca="false">E72+E75+SUM(E79:E81)</f>
        <v>2717560</v>
      </c>
      <c r="F82" s="0" t="n">
        <f aca="false">F72+F75+SUM(F79:F81)</f>
        <v>0</v>
      </c>
      <c r="G82" s="0" t="n">
        <f aca="false">G72+G75+SUM(G79:G81)</f>
        <v>0</v>
      </c>
      <c r="H82" s="0" t="n">
        <f aca="false">H72+H75+SUM(H79:H81)</f>
        <v>0</v>
      </c>
      <c r="I82" s="0" t="n">
        <f aca="false">I72+I75+SUM(I79:I81)</f>
        <v>0</v>
      </c>
      <c r="J82" s="0" t="n">
        <f aca="false">J72+J75+SUM(J79:J81)</f>
        <v>0</v>
      </c>
      <c r="K82" s="0" t="n">
        <f aca="false">K72+K75+SUM(K79:K81)</f>
        <v>0</v>
      </c>
      <c r="L82" s="0" t="n">
        <f aca="false">L72+L75+SUM(L79:L81)</f>
        <v>0</v>
      </c>
      <c r="M82" s="0" t="n">
        <f aca="false">M72+M75+SUM(M79:M81)</f>
        <v>0</v>
      </c>
      <c r="N82" s="0" t="n">
        <f aca="false">N72+N75+SUM(N79:N81)</f>
        <v>0</v>
      </c>
      <c r="O82" s="0" t="n">
        <f aca="false">O72+O75+SUM(O79:O81)</f>
        <v>0</v>
      </c>
      <c r="P82" s="0" t="n">
        <f aca="false">P72+P75+SUM(P79:P81)</f>
        <v>0</v>
      </c>
      <c r="Q82" s="0" t="n">
        <f aca="false">Q72+Q75+SUM(Q79:Q81)</f>
        <v>3235510</v>
      </c>
      <c r="R82" s="0" t="n">
        <f aca="false">R72+R75+SUM(R79:R81)</f>
        <v>0</v>
      </c>
      <c r="S82" s="0" t="s">
        <v>76</v>
      </c>
    </row>
    <row r="83" customFormat="false" ht="15" hidden="false" customHeight="false" outlineLevel="0" collapsed="false">
      <c r="A83" s="1" t="s">
        <v>77</v>
      </c>
      <c r="D83" s="0" t="n">
        <f aca="false">D72/209*8</f>
        <v>101315.980861244</v>
      </c>
      <c r="E83" s="0" t="n">
        <f aca="false">E72/209*8</f>
        <v>96722.6794258373</v>
      </c>
      <c r="F83" s="0" t="n">
        <f aca="false">F72/209*8</f>
        <v>0</v>
      </c>
      <c r="G83" s="0" t="n">
        <f aca="false">G72/209*8</f>
        <v>0</v>
      </c>
      <c r="H83" s="0" t="n">
        <f aca="false">H72/209*8</f>
        <v>0</v>
      </c>
      <c r="I83" s="0" t="n">
        <f aca="false">I72/209*8</f>
        <v>0</v>
      </c>
      <c r="J83" s="0" t="n">
        <f aca="false">J72/209*8</f>
        <v>0</v>
      </c>
      <c r="K83" s="0" t="n">
        <f aca="false">K72/209*8</f>
        <v>0</v>
      </c>
      <c r="L83" s="0" t="n">
        <f aca="false">L72/209*8</f>
        <v>0</v>
      </c>
      <c r="M83" s="0" t="n">
        <f aca="false">M72/209*8</f>
        <v>0</v>
      </c>
      <c r="N83" s="0" t="n">
        <f aca="false">N72/209*8</f>
        <v>0</v>
      </c>
      <c r="O83" s="0" t="n">
        <f aca="false">O72/209*8</f>
        <v>0</v>
      </c>
      <c r="P83" s="0" t="n">
        <f aca="false">P72/209*8</f>
        <v>0</v>
      </c>
      <c r="Q83" s="0" t="n">
        <f aca="false">Q72/209*8</f>
        <v>115861.435406699</v>
      </c>
      <c r="R83" s="0" t="n">
        <f aca="false">R72/209*8</f>
        <v>0</v>
      </c>
    </row>
    <row r="84" customFormat="false" ht="15" hidden="false" customHeight="false" outlineLevel="0" collapsed="false">
      <c r="A84" s="1" t="s">
        <v>78</v>
      </c>
      <c r="D84" s="0" t="n">
        <f aca="false">D72/209*1.5</f>
        <v>18996.7464114833</v>
      </c>
      <c r="E84" s="0" t="n">
        <f aca="false">E72/209*1.5</f>
        <v>18135.5023923445</v>
      </c>
      <c r="F84" s="0" t="n">
        <f aca="false">F72/209*1.5</f>
        <v>0</v>
      </c>
      <c r="G84" s="0" t="n">
        <f aca="false">G72/209*1.5</f>
        <v>0</v>
      </c>
      <c r="H84" s="0" t="n">
        <f aca="false">H72/209*1.5</f>
        <v>0</v>
      </c>
      <c r="I84" s="0" t="n">
        <f aca="false">I72/209*1.5</f>
        <v>0</v>
      </c>
      <c r="J84" s="0" t="n">
        <f aca="false">J72/209*1.5</f>
        <v>0</v>
      </c>
      <c r="K84" s="0" t="n">
        <f aca="false">K72/209*1.5</f>
        <v>0</v>
      </c>
      <c r="L84" s="0" t="n">
        <f aca="false">L72/209*1.5</f>
        <v>0</v>
      </c>
      <c r="M84" s="0" t="n">
        <f aca="false">M72/209*1.5</f>
        <v>0</v>
      </c>
      <c r="N84" s="0" t="n">
        <f aca="false">N72/209*1.5</f>
        <v>0</v>
      </c>
      <c r="O84" s="0" t="n">
        <f aca="false">O72/209*1.5</f>
        <v>0</v>
      </c>
      <c r="P84" s="0" t="n">
        <f aca="false">P72/209*1.5</f>
        <v>0</v>
      </c>
      <c r="Q84" s="0" t="n">
        <f aca="false">Q72/209*1.5</f>
        <v>21724.019138756</v>
      </c>
      <c r="R84" s="0" t="n">
        <f aca="false">R72/209*1.5</f>
        <v>0</v>
      </c>
    </row>
    <row r="85" customFormat="false" ht="15" hidden="false" customHeight="false" outlineLevel="0" collapsed="false">
      <c r="A85" s="1" t="s">
        <v>79</v>
      </c>
      <c r="D85" s="0" t="n">
        <f aca="false">D72/209*1.5</f>
        <v>18996.7464114833</v>
      </c>
      <c r="E85" s="0" t="n">
        <f aca="false">E72/209*1.5</f>
        <v>18135.5023923445</v>
      </c>
      <c r="F85" s="0" t="n">
        <f aca="false">F72/209*1.5</f>
        <v>0</v>
      </c>
      <c r="G85" s="0" t="n">
        <f aca="false">G72/209*1.5</f>
        <v>0</v>
      </c>
      <c r="H85" s="0" t="n">
        <f aca="false">H72/209*1.5</f>
        <v>0</v>
      </c>
      <c r="I85" s="0" t="n">
        <f aca="false">I72/209*1.5</f>
        <v>0</v>
      </c>
      <c r="J85" s="0" t="n">
        <f aca="false">J72/209*1.5</f>
        <v>0</v>
      </c>
      <c r="K85" s="0" t="n">
        <f aca="false">K72/209*1.5</f>
        <v>0</v>
      </c>
      <c r="L85" s="0" t="n">
        <f aca="false">L72/209*1.5</f>
        <v>0</v>
      </c>
      <c r="M85" s="0" t="n">
        <f aca="false">M72/209*1.5</f>
        <v>0</v>
      </c>
      <c r="N85" s="0" t="n">
        <f aca="false">N72/209*1.5</f>
        <v>0</v>
      </c>
      <c r="O85" s="0" t="n">
        <f aca="false">O72/209*1.5</f>
        <v>0</v>
      </c>
      <c r="P85" s="0" t="n">
        <f aca="false">P72/209*1.5</f>
        <v>0</v>
      </c>
      <c r="Q85" s="0" t="n">
        <f aca="false">Q72/209*1.5</f>
        <v>21724.019138756</v>
      </c>
      <c r="R85" s="0" t="n">
        <f aca="false">R72/209*1.5</f>
        <v>0</v>
      </c>
    </row>
    <row r="86" customFormat="false" ht="15" hidden="false" customHeight="false" outlineLevel="0" collapsed="false">
      <c r="A86" s="1" t="s">
        <v>80</v>
      </c>
      <c r="D86" s="0" t="n">
        <f aca="false">D72/209*0.5</f>
        <v>6332.24880382775</v>
      </c>
      <c r="E86" s="0" t="n">
        <f aca="false">E72/209*0.5</f>
        <v>6045.16746411483</v>
      </c>
      <c r="F86" s="0" t="n">
        <f aca="false">F72/209*0.5</f>
        <v>0</v>
      </c>
      <c r="G86" s="0" t="n">
        <f aca="false">G72/209*0.5</f>
        <v>0</v>
      </c>
      <c r="H86" s="0" t="n">
        <f aca="false">H72/209*0.5</f>
        <v>0</v>
      </c>
      <c r="I86" s="0" t="n">
        <f aca="false">I72/209*0.5</f>
        <v>0</v>
      </c>
      <c r="J86" s="0" t="n">
        <f aca="false">J72/209*0.5</f>
        <v>0</v>
      </c>
      <c r="K86" s="0" t="n">
        <f aca="false">K72/209*0.5</f>
        <v>0</v>
      </c>
      <c r="L86" s="0" t="n">
        <f aca="false">L72/209*0.5</f>
        <v>0</v>
      </c>
      <c r="M86" s="0" t="n">
        <f aca="false">M72/209*0.5</f>
        <v>0</v>
      </c>
      <c r="N86" s="0" t="n">
        <f aca="false">N72/209*0.5</f>
        <v>0</v>
      </c>
      <c r="O86" s="0" t="n">
        <f aca="false">O72/209*0.5</f>
        <v>0</v>
      </c>
      <c r="P86" s="0" t="n">
        <f aca="false">P72/209*0.5</f>
        <v>0</v>
      </c>
      <c r="Q86" s="0" t="n">
        <f aca="false">Q72/209*0.5</f>
        <v>7241.33971291866</v>
      </c>
      <c r="R86" s="0" t="n">
        <f aca="false">R72/209*0.5</f>
        <v>0</v>
      </c>
    </row>
    <row r="87" customFormat="false" ht="15" hidden="false" customHeight="false" outlineLevel="0" collapsed="false">
      <c r="A87" s="1" t="s">
        <v>81</v>
      </c>
      <c r="D87" s="0" t="n">
        <f aca="false">D82*12</f>
        <v>34102440</v>
      </c>
      <c r="E87" s="0" t="n">
        <f aca="false">E82*12</f>
        <v>32610720</v>
      </c>
      <c r="F87" s="0" t="n">
        <f aca="false">F82*12</f>
        <v>0</v>
      </c>
      <c r="G87" s="0" t="n">
        <f aca="false">G82*12</f>
        <v>0</v>
      </c>
      <c r="H87" s="0" t="n">
        <f aca="false">H82*12</f>
        <v>0</v>
      </c>
      <c r="I87" s="0" t="n">
        <f aca="false">I82*12</f>
        <v>0</v>
      </c>
      <c r="J87" s="0" t="n">
        <f aca="false">J82*12</f>
        <v>0</v>
      </c>
      <c r="K87" s="0" t="n">
        <f aca="false">K82*12</f>
        <v>0</v>
      </c>
      <c r="L87" s="0" t="n">
        <f aca="false">L82*12</f>
        <v>0</v>
      </c>
      <c r="M87" s="0" t="n">
        <f aca="false">M82*12</f>
        <v>0</v>
      </c>
      <c r="N87" s="0" t="n">
        <f aca="false">N82*12</f>
        <v>0</v>
      </c>
      <c r="O87" s="0" t="n">
        <f aca="false">O82*12</f>
        <v>0</v>
      </c>
      <c r="P87" s="0" t="n">
        <f aca="false">P82*12</f>
        <v>0</v>
      </c>
      <c r="Q87" s="0" t="n">
        <f aca="false">Q82*12</f>
        <v>38826120</v>
      </c>
      <c r="R87" s="0" t="n">
        <f aca="false">R82*12</f>
        <v>0</v>
      </c>
      <c r="S87" s="0" t="s">
        <v>76</v>
      </c>
    </row>
    <row r="88" customFormat="false" ht="15" hidden="false" customHeight="false" outlineLevel="0" collapsed="false">
      <c r="A88" s="1" t="s">
        <v>82</v>
      </c>
      <c r="D88" s="0" t="n">
        <f aca="false">D87*D30</f>
        <v>68204880</v>
      </c>
      <c r="E88" s="0" t="n">
        <f aca="false">E87*E30</f>
        <v>32610720</v>
      </c>
      <c r="F88" s="0" t="n">
        <f aca="false">F87*F30</f>
        <v>0</v>
      </c>
      <c r="G88" s="0" t="n">
        <f aca="false">G87*G30</f>
        <v>0</v>
      </c>
      <c r="H88" s="0" t="n">
        <f aca="false">H87*H30</f>
        <v>0</v>
      </c>
      <c r="I88" s="0" t="n">
        <f aca="false">I87*I30</f>
        <v>0</v>
      </c>
      <c r="J88" s="0" t="n">
        <f aca="false">J87*J30</f>
        <v>0</v>
      </c>
      <c r="K88" s="0" t="n">
        <f aca="false">K87*K30</f>
        <v>0</v>
      </c>
      <c r="L88" s="0" t="n">
        <f aca="false">L87*L30</f>
        <v>0</v>
      </c>
      <c r="M88" s="0" t="n">
        <f aca="false">M87*M30</f>
        <v>0</v>
      </c>
      <c r="N88" s="0" t="n">
        <f aca="false">N87*N30</f>
        <v>0</v>
      </c>
      <c r="O88" s="0" t="n">
        <f aca="false">O87*O30</f>
        <v>0</v>
      </c>
      <c r="P88" s="0" t="n">
        <f aca="false">P87*P30</f>
        <v>0</v>
      </c>
      <c r="Q88" s="0" t="n">
        <f aca="false">Q87*Q30</f>
        <v>0</v>
      </c>
      <c r="R88" s="0" t="n">
        <f aca="false">R87*R30</f>
        <v>0</v>
      </c>
      <c r="S88" s="0" t="n">
        <f aca="false">SUM(D88:R88)</f>
        <v>100815600</v>
      </c>
    </row>
    <row r="89" customFormat="false" ht="15" hidden="false" customHeight="false" outlineLevel="0" collapsed="false">
      <c r="A89" s="1" t="s">
        <v>83</v>
      </c>
      <c r="D89" s="0" t="n">
        <f aca="false">D72+D77+D79+D80+D81+$C$62-D70</f>
        <v>2671870</v>
      </c>
      <c r="E89" s="0" t="n">
        <f aca="false">E72+E77+E79+E80+E81+$C$62-E70</f>
        <v>2547560</v>
      </c>
      <c r="F89" s="0" t="n">
        <f aca="false">F72+F77+F79+F80+F81+$C$62-F70</f>
        <v>0</v>
      </c>
      <c r="G89" s="0" t="n">
        <f aca="false">G72+G77+G79+G80+G81+$C$62-G70</f>
        <v>0</v>
      </c>
      <c r="H89" s="0" t="n">
        <f aca="false">H72+H77+H79+H80+H81+$C$62-H70</f>
        <v>0</v>
      </c>
      <c r="I89" s="0" t="n">
        <f aca="false">I72+I77+I79+I80+I81+$C$62-I70</f>
        <v>0</v>
      </c>
      <c r="J89" s="0" t="n">
        <f aca="false">J72+J77+J79+J80+J81+$C$62-J70</f>
        <v>0</v>
      </c>
      <c r="K89" s="0" t="n">
        <f aca="false">K72+K77+K79+K80+K81+$C$62-K70</f>
        <v>0</v>
      </c>
      <c r="L89" s="0" t="n">
        <f aca="false">L72+L77+L79+L80+L81+$C$62-L70</f>
        <v>0</v>
      </c>
      <c r="M89" s="0" t="n">
        <f aca="false">M72+M77+M79+M80+M81+$C$62-M70</f>
        <v>0</v>
      </c>
      <c r="N89" s="0" t="n">
        <f aca="false">N72+N77+N79+N80+N81+$C$62-N70</f>
        <v>0</v>
      </c>
      <c r="O89" s="0" t="n">
        <f aca="false">O72+O77+O79+O80+O81+$C$62-O70</f>
        <v>0</v>
      </c>
      <c r="P89" s="0" t="n">
        <f aca="false">P72+P77+P79+P80+P81+$C$62-P70</f>
        <v>0</v>
      </c>
      <c r="Q89" s="0" t="n">
        <f aca="false">Q72+Q77+Q79+Q80+Q81+$C$62-Q70</f>
        <v>3065510</v>
      </c>
      <c r="R89" s="0" t="n">
        <f aca="false">R72+R77+R79+R80+R81+$C$62-R70</f>
        <v>0</v>
      </c>
      <c r="S89" s="0" t="s">
        <v>84</v>
      </c>
    </row>
    <row r="90" customFormat="false" ht="15" hidden="false" customHeight="false" outlineLevel="0" collapsed="false">
      <c r="A90" s="1" t="s">
        <v>85</v>
      </c>
      <c r="D90" s="0" t="n">
        <f aca="false">D72+D75+D79+D80+D81+$C$62</f>
        <v>2841870</v>
      </c>
      <c r="E90" s="0" t="n">
        <f aca="false">E72+E75+E79+E80+E81+$C$62</f>
        <v>2717560</v>
      </c>
      <c r="F90" s="0" t="n">
        <f aca="false">F72+F75+F79+F80+F81+$C$62</f>
        <v>0</v>
      </c>
      <c r="G90" s="0" t="n">
        <f aca="false">G72+G75+G79+G80+G81+$C$62</f>
        <v>0</v>
      </c>
      <c r="H90" s="0" t="n">
        <f aca="false">H72+H75+H79+H80+H81+$C$62</f>
        <v>0</v>
      </c>
      <c r="I90" s="0" t="n">
        <f aca="false">I72+I75+I79+I80+I81+$C$62</f>
        <v>0</v>
      </c>
      <c r="J90" s="0" t="n">
        <f aca="false">J72+J75+J79+J80+J81+$C$62</f>
        <v>0</v>
      </c>
      <c r="K90" s="0" t="n">
        <f aca="false">K72+K75+K79+K80+K81+$C$62</f>
        <v>0</v>
      </c>
      <c r="L90" s="0" t="n">
        <f aca="false">L72+L75+L79+L80+L81+$C$62</f>
        <v>0</v>
      </c>
      <c r="M90" s="0" t="n">
        <f aca="false">M72+M75+M79+M80+M81+$C$62</f>
        <v>0</v>
      </c>
      <c r="N90" s="0" t="n">
        <f aca="false">N72+N75+N79+N80+N81+$C$62</f>
        <v>0</v>
      </c>
      <c r="O90" s="0" t="n">
        <f aca="false">O72+O75+O79+O80+O81+$C$62</f>
        <v>0</v>
      </c>
      <c r="P90" s="0" t="n">
        <f aca="false">P72+P75+P79+P80+P81+$C$62</f>
        <v>0</v>
      </c>
      <c r="Q90" s="0" t="n">
        <f aca="false">Q72+Q75+Q79+Q80+Q81+$C$62</f>
        <v>3235510</v>
      </c>
      <c r="R90" s="0" t="n">
        <f aca="false">R72+R75+R79+R80+R81+$C$62</f>
        <v>0</v>
      </c>
      <c r="S90" s="0" t="s">
        <v>76</v>
      </c>
    </row>
    <row r="92" customFormat="false" ht="15" hidden="false" customHeight="false" outlineLevel="0" collapsed="false">
      <c r="A92" s="1" t="s">
        <v>86</v>
      </c>
      <c r="D92" s="0" t="n">
        <f aca="false">D82-'급여테이블(변경전)'!D82</f>
        <v>0</v>
      </c>
      <c r="E92" s="0" t="n">
        <f aca="false">E82-'급여테이블(변경전)'!E82</f>
        <v>0</v>
      </c>
      <c r="Q92" s="0" t="n">
        <f aca="false">Q82-'급여테이블(변경전)'!Q82</f>
        <v>0</v>
      </c>
    </row>
    <row r="94" customFormat="false" ht="15" hidden="false" customHeight="false" outlineLevel="0" collapsed="false">
      <c r="A94" s="0" t="s">
        <v>90</v>
      </c>
    </row>
    <row r="95" customFormat="false" ht="15" hidden="false" customHeight="false" outlineLevel="0" collapsed="false">
      <c r="A95" s="0" t="s">
        <v>91</v>
      </c>
    </row>
    <row r="98" customFormat="false" ht="15" hidden="false" customHeight="false" outlineLevel="0" collapsed="false">
      <c r="A98" s="0" t="s">
        <v>92</v>
      </c>
    </row>
    <row r="99" customFormat="false" ht="15" hidden="false" customHeight="false" outlineLevel="0" collapsed="false">
      <c r="A99" s="0" t="s">
        <v>93</v>
      </c>
    </row>
    <row r="100" customFormat="false" ht="15" hidden="false" customHeight="false" outlineLevel="0" collapsed="false">
      <c r="A100" s="0" t="s">
        <v>94</v>
      </c>
    </row>
    <row r="101" customFormat="false" ht="15" hidden="false" customHeight="false" outlineLevel="0" collapsed="false">
      <c r="A101" s="1" t="s">
        <v>95</v>
      </c>
    </row>
    <row r="102" customFormat="false" ht="15" hidden="false" customHeight="false" outlineLevel="0" collapsed="false">
      <c r="A102" s="1" t="s">
        <v>19</v>
      </c>
      <c r="B102" s="1" t="s">
        <v>96</v>
      </c>
    </row>
    <row r="103" customFormat="false" ht="15" hidden="false" customHeight="false" outlineLevel="0" collapsed="false">
      <c r="A103" s="1" t="s">
        <v>97</v>
      </c>
      <c r="B103" s="1" t="s">
        <v>98</v>
      </c>
    </row>
    <row r="104" customFormat="false" ht="15" hidden="false" customHeight="false" outlineLevel="0" collapsed="false">
      <c r="A104" s="1" t="s">
        <v>99</v>
      </c>
      <c r="B104" s="1" t="s">
        <v>100</v>
      </c>
    </row>
    <row r="113" customFormat="false" ht="15" hidden="false" customHeight="false" outlineLevel="0" collapsed="false">
      <c r="A113" s="0" t="s">
        <v>101</v>
      </c>
    </row>
    <row r="117" customFormat="false" ht="15" hidden="false" customHeight="false" outlineLevel="0" collapsed="false">
      <c r="A117" s="0" t="s">
        <v>102</v>
      </c>
    </row>
    <row r="122" customFormat="false" ht="15" hidden="false" customHeight="false" outlineLevel="0" collapsed="false">
      <c r="A122" s="0" t="s">
        <v>103</v>
      </c>
    </row>
    <row r="125" customFormat="false" ht="15" hidden="false" customHeight="false" outlineLevel="0" collapsed="false">
      <c r="A125" s="0" t="s">
        <v>104</v>
      </c>
    </row>
    <row r="128" customFormat="false" ht="15" hidden="false" customHeight="false" outlineLevel="0" collapsed="false">
      <c r="A128" s="0" t="s">
        <v>105</v>
      </c>
    </row>
    <row r="129" customFormat="false" ht="15" hidden="false" customHeight="false" outlineLevel="0" collapsed="false">
      <c r="A129" s="1" t="s">
        <v>106</v>
      </c>
      <c r="B129" s="1" t="s">
        <v>107</v>
      </c>
      <c r="C129" s="1" t="s">
        <v>108</v>
      </c>
      <c r="E129" s="1" t="s">
        <v>109</v>
      </c>
      <c r="F129" s="1" t="s">
        <v>110</v>
      </c>
      <c r="G129" s="1" t="s">
        <v>111</v>
      </c>
    </row>
    <row r="130" customFormat="false" ht="15" hidden="false" customHeight="false" outlineLevel="0" collapsed="false">
      <c r="A130" s="1" t="s">
        <v>27</v>
      </c>
      <c r="B130" s="1" t="s">
        <v>27</v>
      </c>
      <c r="C130" s="1" t="s">
        <v>112</v>
      </c>
      <c r="E130" s="0" t="s">
        <v>113</v>
      </c>
      <c r="F130" s="0" t="s">
        <v>114</v>
      </c>
    </row>
    <row r="131" customFormat="false" ht="15" hidden="false" customHeight="false" outlineLevel="0" collapsed="false">
      <c r="A131" s="1" t="s">
        <v>115</v>
      </c>
      <c r="B131" s="1" t="s">
        <v>115</v>
      </c>
      <c r="C131" s="1" t="s">
        <v>112</v>
      </c>
      <c r="E131" s="0" t="s">
        <v>113</v>
      </c>
      <c r="F131" s="0" t="s">
        <v>114</v>
      </c>
    </row>
    <row r="132" customFormat="false" ht="15" hidden="false" customHeight="false" outlineLevel="0" collapsed="false">
      <c r="A132" s="1" t="s">
        <v>35</v>
      </c>
      <c r="B132" s="1" t="s">
        <v>35</v>
      </c>
      <c r="C132" s="1" t="s">
        <v>112</v>
      </c>
      <c r="E132" s="0" t="s">
        <v>113</v>
      </c>
      <c r="F132" s="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4" customFormat="false" ht="15" hidden="false" customHeight="false" outlineLevel="0" collapsed="false">
      <c r="A4" s="0" t="s">
        <v>1</v>
      </c>
      <c r="S4" s="0" t="s">
        <v>2</v>
      </c>
    </row>
    <row r="6" customFormat="false" ht="15" hidden="false" customHeight="false" outlineLevel="0" collapsed="false">
      <c r="A6" s="1" t="s">
        <v>3</v>
      </c>
      <c r="D6" s="1" t="s">
        <v>4</v>
      </c>
      <c r="H6" s="1" t="s">
        <v>5</v>
      </c>
      <c r="K6" s="0" t="n">
        <v>46023</v>
      </c>
    </row>
    <row r="7" customFormat="false" ht="15" hidden="false" customHeight="false" outlineLevel="0" collapsed="false">
      <c r="A7" s="1" t="s">
        <v>6</v>
      </c>
      <c r="D7" s="0" t="s">
        <v>7</v>
      </c>
      <c r="H7" s="1" t="s">
        <v>8</v>
      </c>
      <c r="K7" s="1" t="s">
        <v>9</v>
      </c>
    </row>
    <row r="9" customFormat="false" ht="15" hidden="false" customHeight="false" outlineLevel="0" collapsed="false">
      <c r="A9" s="0" t="s">
        <v>10</v>
      </c>
    </row>
    <row r="11" customFormat="false" ht="15" hidden="false" customHeight="false" outlineLevel="0" collapsed="false">
      <c r="A11" s="1" t="s">
        <v>11</v>
      </c>
      <c r="D11" s="0" t="s">
        <v>12</v>
      </c>
    </row>
    <row r="12" customFormat="false" ht="15" hidden="false" customHeight="false" outlineLevel="0" collapsed="false">
      <c r="A12" s="1" t="s">
        <v>13</v>
      </c>
      <c r="D12" s="1" t="s">
        <v>14</v>
      </c>
      <c r="H12" s="1" t="s">
        <v>15</v>
      </c>
      <c r="K12" s="1" t="s">
        <v>16</v>
      </c>
    </row>
    <row r="14" customFormat="false" ht="15" hidden="false" customHeight="false" outlineLevel="0" collapsed="false">
      <c r="A14" s="0" t="s">
        <v>17</v>
      </c>
      <c r="R14" s="0" t="s">
        <v>18</v>
      </c>
    </row>
    <row r="15" customFormat="false" ht="15" hidden="false" customHeight="false" outlineLevel="0" collapsed="false">
      <c r="A15" s="1" t="s">
        <v>19</v>
      </c>
      <c r="B15" s="1" t="s">
        <v>20</v>
      </c>
      <c r="E15" s="1" t="s">
        <v>21</v>
      </c>
      <c r="H15" s="1" t="s">
        <v>22</v>
      </c>
      <c r="I15" s="1" t="s">
        <v>23</v>
      </c>
      <c r="R15" s="1" t="s">
        <v>24</v>
      </c>
      <c r="S15" s="1" t="s">
        <v>25</v>
      </c>
    </row>
    <row r="16" customFormat="false" ht="15" hidden="false" customHeight="false" outlineLevel="0" collapsed="false">
      <c r="A16" s="1" t="s">
        <v>26</v>
      </c>
      <c r="B16" s="1" t="s">
        <v>27</v>
      </c>
      <c r="E16" s="1" t="s">
        <v>28</v>
      </c>
      <c r="H16" s="0" t="n">
        <f aca="false">Q67</f>
        <v>400000</v>
      </c>
      <c r="R16" s="0" t="s">
        <v>29</v>
      </c>
      <c r="S16" s="0" t="n">
        <v>1</v>
      </c>
    </row>
    <row r="17" customFormat="false" ht="15" hidden="false" customHeight="false" outlineLevel="0" collapsed="false">
      <c r="B17" s="1" t="s">
        <v>30</v>
      </c>
      <c r="E17" s="1" t="s">
        <v>31</v>
      </c>
      <c r="H17" s="0" t="n">
        <f aca="false">D67</f>
        <v>200000</v>
      </c>
      <c r="R17" s="0" t="s">
        <v>29</v>
      </c>
      <c r="S17" s="0" t="n">
        <v>1</v>
      </c>
    </row>
    <row r="18" customFormat="false" ht="15" hidden="false" customHeight="false" outlineLevel="0" collapsed="false">
      <c r="B18" s="1" t="s">
        <v>32</v>
      </c>
      <c r="E18" s="1" t="s">
        <v>33</v>
      </c>
      <c r="H18" s="0" t="n">
        <f aca="false">E67</f>
        <v>150000</v>
      </c>
      <c r="R18" s="0" t="s">
        <v>29</v>
      </c>
      <c r="S18" s="0" t="n">
        <v>1</v>
      </c>
    </row>
    <row r="19" customFormat="false" ht="15" hidden="false" customHeight="false" outlineLevel="0" collapsed="false">
      <c r="A19" s="1" t="s">
        <v>34</v>
      </c>
      <c r="B19" s="1" t="s">
        <v>35</v>
      </c>
      <c r="E19" s="1" t="s">
        <v>36</v>
      </c>
      <c r="R19" s="0" t="s">
        <v>29</v>
      </c>
      <c r="S19" s="0" t="n">
        <v>20</v>
      </c>
    </row>
    <row r="22" customFormat="false" ht="15" hidden="false" customHeight="false" outlineLevel="0" collapsed="false">
      <c r="A22" s="1" t="s">
        <v>37</v>
      </c>
      <c r="S22" s="0" t="n">
        <f aca="false">SUM(S16:S21)</f>
        <v>23</v>
      </c>
    </row>
    <row r="24" customFormat="false" ht="15" hidden="false" customHeight="false" outlineLevel="0" collapsed="false">
      <c r="A24" s="0" t="s">
        <v>38</v>
      </c>
      <c r="R24" s="0" t="s">
        <v>39</v>
      </c>
    </row>
    <row r="25" customFormat="false" ht="15" hidden="false" customHeight="false" outlineLevel="0" collapsed="false">
      <c r="A25" s="1" t="s">
        <v>19</v>
      </c>
      <c r="B25" s="1" t="s">
        <v>40</v>
      </c>
      <c r="D25" s="1" t="s">
        <v>41</v>
      </c>
      <c r="I25" s="1" t="s">
        <v>42</v>
      </c>
      <c r="S25" s="1" t="s">
        <v>37</v>
      </c>
    </row>
    <row r="26" customFormat="false" ht="15" hidden="false" customHeight="false" outlineLevel="0" collapsed="false">
      <c r="B26" s="1" t="s">
        <v>43</v>
      </c>
      <c r="D26" s="1" t="s">
        <v>44</v>
      </c>
      <c r="E26" s="1" t="s">
        <v>45</v>
      </c>
      <c r="F26" s="1" t="s">
        <v>46</v>
      </c>
      <c r="G26" s="1" t="s">
        <v>47</v>
      </c>
    </row>
    <row r="27" customFormat="false" ht="15" hidden="false" customHeight="false" outlineLevel="0" collapsed="false">
      <c r="A27" s="1" t="s">
        <v>25</v>
      </c>
      <c r="D27" s="0" t="n">
        <v>3</v>
      </c>
      <c r="E27" s="0" t="n">
        <v>8</v>
      </c>
      <c r="F27" s="0" t="n">
        <v>6</v>
      </c>
      <c r="G27" s="0" t="n">
        <v>3</v>
      </c>
      <c r="S27" s="0" t="n">
        <f aca="false">SUM(D27:R27)</f>
        <v>20</v>
      </c>
    </row>
    <row r="28" customFormat="false" ht="15" hidden="false" customHeight="false" outlineLevel="0" collapsed="false">
      <c r="A28" s="1" t="s">
        <v>19</v>
      </c>
      <c r="B28" s="1" t="s">
        <v>40</v>
      </c>
      <c r="D28" s="0" t="s">
        <v>48</v>
      </c>
      <c r="P28" s="0" t="s">
        <v>49</v>
      </c>
      <c r="S28" s="1" t="s">
        <v>37</v>
      </c>
    </row>
    <row r="29" customFormat="false" ht="15" hidden="false" customHeight="false" outlineLevel="0" collapsed="false">
      <c r="B29" s="1" t="s">
        <v>43</v>
      </c>
      <c r="D29" s="1" t="s">
        <v>50</v>
      </c>
      <c r="E29" s="1" t="s">
        <v>51</v>
      </c>
      <c r="R29" s="1" t="s">
        <v>27</v>
      </c>
    </row>
    <row r="30" customFormat="false" ht="15" hidden="false" customHeight="false" outlineLevel="0" collapsed="false">
      <c r="A30" s="1" t="s">
        <v>25</v>
      </c>
      <c r="D30" s="0" t="n">
        <v>2</v>
      </c>
      <c r="E30" s="0" t="n">
        <v>1</v>
      </c>
      <c r="R30" s="0" t="n">
        <v>1</v>
      </c>
      <c r="S30" s="0" t="n">
        <f aca="false">SUM(D30:R30)</f>
        <v>4</v>
      </c>
    </row>
    <row r="31" customFormat="false" ht="15" hidden="false" customHeight="false" outlineLevel="0" collapsed="false">
      <c r="P31" s="1" t="s">
        <v>52</v>
      </c>
      <c r="S31" s="0" t="n">
        <f aca="false">S27+S30</f>
        <v>24</v>
      </c>
    </row>
    <row r="32" customFormat="false" ht="15" hidden="false" customHeight="false" outlineLevel="0" collapsed="false">
      <c r="A32" s="0" t="s">
        <v>53</v>
      </c>
      <c r="R32" s="0" t="s">
        <v>18</v>
      </c>
    </row>
    <row r="33" customFormat="false" ht="15" hidden="false" customHeight="false" outlineLevel="0" collapsed="false">
      <c r="A33" s="1" t="s">
        <v>19</v>
      </c>
      <c r="D33" s="1" t="s">
        <v>54</v>
      </c>
      <c r="S33" s="1" t="s">
        <v>55</v>
      </c>
    </row>
    <row r="34" customFormat="false" ht="15" hidden="false" customHeight="false" outlineLevel="0" collapsed="false">
      <c r="D34" s="1" t="s">
        <v>44</v>
      </c>
      <c r="E34" s="1" t="s">
        <v>45</v>
      </c>
      <c r="F34" s="1" t="s">
        <v>46</v>
      </c>
      <c r="G34" s="1" t="s">
        <v>47</v>
      </c>
    </row>
    <row r="35" customFormat="false" ht="15" hidden="false" customHeight="false" outlineLevel="0" collapsed="false">
      <c r="A35" s="1" t="s">
        <v>56</v>
      </c>
      <c r="D35" s="0" t="n">
        <f aca="false">10320*209</f>
        <v>2156880</v>
      </c>
      <c r="E35" s="0" t="n">
        <f aca="false">10320*209</f>
        <v>2156880</v>
      </c>
      <c r="F35" s="0" t="n">
        <f aca="false">10320*209</f>
        <v>2156880</v>
      </c>
      <c r="G35" s="0" t="n">
        <f aca="false">10320*209</f>
        <v>2156880</v>
      </c>
    </row>
    <row r="36" customFormat="false" ht="15" hidden="false" customHeight="false" outlineLevel="0" collapsed="false">
      <c r="A36" s="1" t="s">
        <v>57</v>
      </c>
    </row>
    <row r="37" customFormat="false" ht="15" hidden="false" customHeight="false" outlineLevel="0" collapsed="false">
      <c r="A37" s="1" t="s">
        <v>58</v>
      </c>
    </row>
    <row r="38" customFormat="false" ht="15" hidden="false" customHeight="false" outlineLevel="0" collapsed="false">
      <c r="A38" s="1" t="s">
        <v>59</v>
      </c>
      <c r="F38" s="0" t="n">
        <v>20000</v>
      </c>
      <c r="G38" s="0" t="n">
        <v>40000</v>
      </c>
    </row>
    <row r="39" customFormat="false" ht="15" hidden="false" customHeight="false" outlineLevel="0" collapsed="false">
      <c r="A39" s="1" t="s">
        <v>60</v>
      </c>
      <c r="D39" s="0" t="n">
        <v>100000</v>
      </c>
      <c r="E39" s="0" t="n">
        <v>100000</v>
      </c>
      <c r="F39" s="0" t="n">
        <v>100000</v>
      </c>
      <c r="G39" s="0" t="n">
        <v>100000</v>
      </c>
    </row>
    <row r="40" customFormat="false" ht="15" hidden="false" customHeight="false" outlineLevel="0" collapsed="false">
      <c r="A40" s="1" t="s">
        <v>61</v>
      </c>
    </row>
    <row r="41" customFormat="false" ht="15" hidden="false" customHeight="false" outlineLevel="0" collapsed="false">
      <c r="A41" s="1" t="s">
        <v>62</v>
      </c>
      <c r="D41" s="0" t="n">
        <f aca="false">SUM(D35:D40)</f>
        <v>2256880</v>
      </c>
      <c r="E41" s="0" t="n">
        <f aca="false">SUM(E35:E40)</f>
        <v>2256880</v>
      </c>
      <c r="F41" s="0" t="n">
        <f aca="false">SUM(F35:F40)</f>
        <v>2276880</v>
      </c>
      <c r="G41" s="0" t="n">
        <f aca="false">SUM(G35:G40)</f>
        <v>2296880</v>
      </c>
      <c r="H41" s="0" t="n">
        <f aca="false">SUM(H35:H40)</f>
        <v>0</v>
      </c>
      <c r="I41" s="0" t="n">
        <f aca="false">SUM(I35:I40)</f>
        <v>0</v>
      </c>
      <c r="J41" s="0" t="n">
        <f aca="false">SUM(J35:J40)</f>
        <v>0</v>
      </c>
      <c r="K41" s="0" t="n">
        <f aca="false">SUM(K35:K40)</f>
        <v>0</v>
      </c>
      <c r="L41" s="0" t="n">
        <f aca="false">SUM(L35:L40)</f>
        <v>0</v>
      </c>
      <c r="M41" s="0" t="n">
        <f aca="false">SUM(M35:M40)</f>
        <v>0</v>
      </c>
      <c r="N41" s="0" t="n">
        <f aca="false">SUM(N35:N40)</f>
        <v>0</v>
      </c>
      <c r="O41" s="0" t="n">
        <f aca="false">SUM(O35:O40)</f>
        <v>0</v>
      </c>
      <c r="P41" s="0" t="n">
        <f aca="false">SUM(P35:P40)</f>
        <v>0</v>
      </c>
      <c r="Q41" s="0" t="n">
        <f aca="false">SUM(Q35:Q40)</f>
        <v>0</v>
      </c>
      <c r="R41" s="0" t="n">
        <f aca="false">SUM(R35:R40)</f>
        <v>0</v>
      </c>
    </row>
    <row r="42" customFormat="false" ht="15" hidden="false" customHeight="false" outlineLevel="0" collapsed="false">
      <c r="A42" s="1" t="s">
        <v>63</v>
      </c>
      <c r="C42" s="0" t="s">
        <v>64</v>
      </c>
      <c r="D42" s="0" t="n">
        <v>120000</v>
      </c>
      <c r="E42" s="0" t="n">
        <v>120000</v>
      </c>
      <c r="F42" s="0" t="n">
        <v>120000</v>
      </c>
      <c r="G42" s="0" t="n">
        <v>120000</v>
      </c>
      <c r="S42" s="1" t="s">
        <v>65</v>
      </c>
    </row>
    <row r="43" customFormat="false" ht="15" hidden="false" customHeight="false" outlineLevel="0" collapsed="false">
      <c r="C43" s="0" t="s">
        <v>66</v>
      </c>
      <c r="D43" s="0" t="n">
        <v>90000</v>
      </c>
      <c r="E43" s="0" t="n">
        <v>90000</v>
      </c>
      <c r="F43" s="0" t="n">
        <v>90000</v>
      </c>
      <c r="G43" s="0" t="n">
        <v>90000</v>
      </c>
    </row>
    <row r="44" customFormat="false" ht="15" hidden="false" customHeight="false" outlineLevel="0" collapsed="false">
      <c r="C44" s="0" t="s">
        <v>67</v>
      </c>
      <c r="D44" s="0" t="n">
        <v>60000</v>
      </c>
      <c r="E44" s="0" t="n">
        <v>60000</v>
      </c>
      <c r="F44" s="0" t="n">
        <v>60000</v>
      </c>
      <c r="G44" s="0" t="n">
        <v>60000</v>
      </c>
    </row>
    <row r="45" customFormat="false" ht="15" hidden="false" customHeight="false" outlineLevel="0" collapsed="false">
      <c r="C45" s="0" t="s">
        <v>68</v>
      </c>
      <c r="D45" s="0" t="n">
        <v>30000</v>
      </c>
      <c r="E45" s="0" t="n">
        <v>30000</v>
      </c>
      <c r="F45" s="0" t="n">
        <v>30000</v>
      </c>
      <c r="G45" s="0" t="n">
        <v>30000</v>
      </c>
    </row>
    <row r="46" customFormat="false" ht="15" hidden="false" customHeight="false" outlineLevel="0" collapsed="false">
      <c r="C46" s="0" t="s">
        <v>69</v>
      </c>
      <c r="D46" s="0" t="n">
        <v>10000</v>
      </c>
      <c r="E46" s="0" t="n">
        <v>10000</v>
      </c>
      <c r="F46" s="0" t="n">
        <v>10000</v>
      </c>
      <c r="G46" s="0" t="n">
        <v>10000</v>
      </c>
    </row>
    <row r="47" customFormat="false" ht="15" hidden="false" customHeight="false" outlineLevel="0" collapsed="false">
      <c r="C47" s="0" t="s">
        <v>70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</row>
    <row r="48" customFormat="false" ht="15" hidden="false" customHeight="false" outlineLevel="0" collapsed="false">
      <c r="A48" s="1" t="s">
        <v>71</v>
      </c>
      <c r="E48" s="0" t="n">
        <f aca="false">ROUNDUP(E53*2,-1)</f>
        <v>32400</v>
      </c>
      <c r="F48" s="0" t="n">
        <f aca="false">ROUNDUP(F53*2,-1)</f>
        <v>32690</v>
      </c>
      <c r="G48" s="0" t="n">
        <f aca="false">ROUNDUP(G53*2,-1)</f>
        <v>32970</v>
      </c>
      <c r="S48" s="0" t="s">
        <v>72</v>
      </c>
    </row>
    <row r="49" customFormat="false" ht="15" hidden="false" customHeight="false" outlineLevel="0" collapsed="false">
      <c r="A49" s="1" t="s">
        <v>73</v>
      </c>
    </row>
    <row r="50" customFormat="false" ht="15" hidden="false" customHeight="false" outlineLevel="0" collapsed="false">
      <c r="A50" s="1" t="s">
        <v>74</v>
      </c>
    </row>
    <row r="51" customFormat="false" ht="15" hidden="false" customHeight="false" outlineLevel="0" collapsed="false">
      <c r="A51" s="1" t="s">
        <v>75</v>
      </c>
      <c r="D51" s="0" t="n">
        <f aca="false">D41+D44+SUM(D48:D50)</f>
        <v>2316880</v>
      </c>
      <c r="E51" s="0" t="n">
        <f aca="false">E41+E44+SUM(E48:E50)</f>
        <v>2349280</v>
      </c>
      <c r="F51" s="0" t="n">
        <f aca="false">F41+F44+SUM(F48:F50)</f>
        <v>2369570</v>
      </c>
      <c r="G51" s="0" t="n">
        <f aca="false">G41+G44+SUM(G48:G50)</f>
        <v>2389850</v>
      </c>
      <c r="H51" s="0" t="n">
        <f aca="false">H41+H44+SUM(H48:H50)</f>
        <v>0</v>
      </c>
      <c r="I51" s="0" t="n">
        <f aca="false">I41+I44+SUM(I48:I50)</f>
        <v>0</v>
      </c>
      <c r="J51" s="0" t="n">
        <f aca="false">J41+J44+SUM(J48:J50)</f>
        <v>0</v>
      </c>
      <c r="K51" s="0" t="n">
        <f aca="false">K41+K44+SUM(K48:K50)</f>
        <v>0</v>
      </c>
      <c r="L51" s="0" t="n">
        <f aca="false">L41+L44+SUM(L48:L50)</f>
        <v>0</v>
      </c>
      <c r="M51" s="0" t="n">
        <f aca="false">M41+M44+SUM(M48:M50)</f>
        <v>0</v>
      </c>
      <c r="N51" s="0" t="n">
        <f aca="false">N41+N44+SUM(N48:N50)</f>
        <v>0</v>
      </c>
      <c r="O51" s="0" t="n">
        <f aca="false">O41+O44+SUM(O48:O50)</f>
        <v>0</v>
      </c>
      <c r="P51" s="0" t="n">
        <f aca="false">P41+P44+SUM(P48:P50)</f>
        <v>0</v>
      </c>
      <c r="Q51" s="0" t="n">
        <f aca="false">Q41+Q44+SUM(Q48:Q50)</f>
        <v>0</v>
      </c>
      <c r="R51" s="0" t="n">
        <f aca="false">R41+R44+SUM(R48:R50)</f>
        <v>0</v>
      </c>
      <c r="S51" s="0" t="s">
        <v>76</v>
      </c>
    </row>
    <row r="52" customFormat="false" ht="15" hidden="false" customHeight="false" outlineLevel="0" collapsed="false">
      <c r="A52" s="1" t="s">
        <v>77</v>
      </c>
      <c r="D52" s="0" t="n">
        <f aca="false">D41/209*8</f>
        <v>86387.7511961723</v>
      </c>
      <c r="E52" s="0" t="n">
        <f aca="false">E41/209*8</f>
        <v>86387.7511961723</v>
      </c>
      <c r="F52" s="0" t="n">
        <f aca="false">F41/209*8</f>
        <v>87153.3014354067</v>
      </c>
      <c r="G52" s="0" t="n">
        <f aca="false">G41/209*8</f>
        <v>87918.8516746412</v>
      </c>
      <c r="H52" s="0" t="n">
        <f aca="false">H41/209*8</f>
        <v>0</v>
      </c>
      <c r="I52" s="0" t="n">
        <f aca="false">I41/209*8</f>
        <v>0</v>
      </c>
      <c r="J52" s="0" t="n">
        <f aca="false">J41/209*8</f>
        <v>0</v>
      </c>
      <c r="K52" s="0" t="n">
        <f aca="false">K41/209*8</f>
        <v>0</v>
      </c>
      <c r="L52" s="0" t="n">
        <f aca="false">L41/209*8</f>
        <v>0</v>
      </c>
      <c r="M52" s="0" t="n">
        <f aca="false">M41/209*8</f>
        <v>0</v>
      </c>
      <c r="N52" s="0" t="n">
        <f aca="false">N41/209*8</f>
        <v>0</v>
      </c>
      <c r="O52" s="0" t="n">
        <f aca="false">O41/209*8</f>
        <v>0</v>
      </c>
      <c r="P52" s="0" t="n">
        <f aca="false">P41/209*8</f>
        <v>0</v>
      </c>
      <c r="Q52" s="0" t="n">
        <f aca="false">Q41/209*8</f>
        <v>0</v>
      </c>
      <c r="R52" s="0" t="n">
        <f aca="false">R41/209*8</f>
        <v>0</v>
      </c>
    </row>
    <row r="53" customFormat="false" ht="15" hidden="false" customHeight="false" outlineLevel="0" collapsed="false">
      <c r="A53" s="1" t="s">
        <v>78</v>
      </c>
      <c r="D53" s="0" t="n">
        <f aca="false">D41/209*1.5</f>
        <v>16197.7033492823</v>
      </c>
      <c r="E53" s="0" t="n">
        <f aca="false">E41/209*1.5</f>
        <v>16197.7033492823</v>
      </c>
      <c r="F53" s="0" t="n">
        <f aca="false">F41/209*1.5</f>
        <v>16341.2440191388</v>
      </c>
      <c r="G53" s="0" t="n">
        <f aca="false">G41/209*1.5</f>
        <v>16484.7846889952</v>
      </c>
      <c r="H53" s="0" t="n">
        <f aca="false">H41/209*1.5</f>
        <v>0</v>
      </c>
      <c r="I53" s="0" t="n">
        <f aca="false">I41/209*1.5</f>
        <v>0</v>
      </c>
      <c r="J53" s="0" t="n">
        <f aca="false">J41/209*1.5</f>
        <v>0</v>
      </c>
      <c r="K53" s="0" t="n">
        <f aca="false">K41/209*1.5</f>
        <v>0</v>
      </c>
      <c r="L53" s="0" t="n">
        <f aca="false">L41/209*1.5</f>
        <v>0</v>
      </c>
      <c r="M53" s="0" t="n">
        <f aca="false">M41/209*1.5</f>
        <v>0</v>
      </c>
      <c r="N53" s="0" t="n">
        <f aca="false">N41/209*1.5</f>
        <v>0</v>
      </c>
      <c r="O53" s="0" t="n">
        <f aca="false">O41/209*1.5</f>
        <v>0</v>
      </c>
      <c r="P53" s="0" t="n">
        <f aca="false">P41/209*1.5</f>
        <v>0</v>
      </c>
      <c r="Q53" s="0" t="n">
        <f aca="false">Q41/209*1.5</f>
        <v>0</v>
      </c>
      <c r="R53" s="0" t="n">
        <f aca="false">R41/209*1.5</f>
        <v>0</v>
      </c>
    </row>
    <row r="54" customFormat="false" ht="15" hidden="false" customHeight="false" outlineLevel="0" collapsed="false">
      <c r="A54" s="1" t="s">
        <v>79</v>
      </c>
      <c r="D54" s="0" t="n">
        <f aca="false">D41/209*1.5</f>
        <v>16197.7033492823</v>
      </c>
      <c r="E54" s="0" t="n">
        <f aca="false">E41/209*1.5</f>
        <v>16197.7033492823</v>
      </c>
      <c r="F54" s="0" t="n">
        <f aca="false">F41/209*1.5</f>
        <v>16341.2440191388</v>
      </c>
      <c r="G54" s="0" t="n">
        <f aca="false">G41/209*1.5</f>
        <v>16484.7846889952</v>
      </c>
      <c r="H54" s="0" t="n">
        <f aca="false">H41/209*1.5</f>
        <v>0</v>
      </c>
      <c r="I54" s="0" t="n">
        <f aca="false">I41/209*1.5</f>
        <v>0</v>
      </c>
      <c r="J54" s="0" t="n">
        <f aca="false">J41/209*1.5</f>
        <v>0</v>
      </c>
      <c r="K54" s="0" t="n">
        <f aca="false">K41/209*1.5</f>
        <v>0</v>
      </c>
      <c r="L54" s="0" t="n">
        <f aca="false">L41/209*1.5</f>
        <v>0</v>
      </c>
      <c r="M54" s="0" t="n">
        <f aca="false">M41/209*1.5</f>
        <v>0</v>
      </c>
      <c r="N54" s="0" t="n">
        <f aca="false">N41/209*1.5</f>
        <v>0</v>
      </c>
      <c r="O54" s="0" t="n">
        <f aca="false">O41/209*1.5</f>
        <v>0</v>
      </c>
      <c r="P54" s="0" t="n">
        <f aca="false">P41/209*1.5</f>
        <v>0</v>
      </c>
      <c r="Q54" s="0" t="n">
        <f aca="false">Q41/209*1.5</f>
        <v>0</v>
      </c>
      <c r="R54" s="0" t="n">
        <f aca="false">R41/209*1.5</f>
        <v>0</v>
      </c>
    </row>
    <row r="55" customFormat="false" ht="15" hidden="false" customHeight="false" outlineLevel="0" collapsed="false">
      <c r="A55" s="1" t="s">
        <v>80</v>
      </c>
      <c r="D55" s="0" t="n">
        <f aca="false">D41/209*0.5</f>
        <v>5399.23444976077</v>
      </c>
      <c r="E55" s="0" t="n">
        <f aca="false">E41/209*0.5</f>
        <v>5399.23444976077</v>
      </c>
      <c r="F55" s="0" t="n">
        <f aca="false">F41/209*0.5</f>
        <v>5447.08133971292</v>
      </c>
      <c r="G55" s="0" t="n">
        <f aca="false">G41/209*0.5</f>
        <v>5494.92822966507</v>
      </c>
      <c r="H55" s="0" t="n">
        <f aca="false">H41/209*0.5</f>
        <v>0</v>
      </c>
      <c r="I55" s="0" t="n">
        <f aca="false">I41/209*0.5</f>
        <v>0</v>
      </c>
      <c r="J55" s="0" t="n">
        <f aca="false">J41/209*0.5</f>
        <v>0</v>
      </c>
      <c r="K55" s="0" t="n">
        <f aca="false">K41/209*0.5</f>
        <v>0</v>
      </c>
      <c r="L55" s="0" t="n">
        <f aca="false">L41/209*0.5</f>
        <v>0</v>
      </c>
      <c r="M55" s="0" t="n">
        <f aca="false">M41/209*0.5</f>
        <v>0</v>
      </c>
      <c r="N55" s="0" t="n">
        <f aca="false">N41/209*0.5</f>
        <v>0</v>
      </c>
      <c r="O55" s="0" t="n">
        <f aca="false">O41/209*0.5</f>
        <v>0</v>
      </c>
      <c r="P55" s="0" t="n">
        <f aca="false">P41/209*0.5</f>
        <v>0</v>
      </c>
      <c r="Q55" s="0" t="n">
        <f aca="false">Q41/209*0.5</f>
        <v>0</v>
      </c>
      <c r="R55" s="0" t="n">
        <f aca="false">R41/209*0.5</f>
        <v>0</v>
      </c>
    </row>
    <row r="56" customFormat="false" ht="15" hidden="false" customHeight="false" outlineLevel="0" collapsed="false">
      <c r="A56" s="1" t="s">
        <v>81</v>
      </c>
      <c r="D56" s="0" t="n">
        <f aca="false">D51*12</f>
        <v>27802560</v>
      </c>
      <c r="E56" s="0" t="n">
        <f aca="false">E51*12</f>
        <v>28191360</v>
      </c>
      <c r="F56" s="0" t="n">
        <f aca="false">F51*12</f>
        <v>28434840</v>
      </c>
      <c r="G56" s="0" t="n">
        <f aca="false">G51*12</f>
        <v>28678200</v>
      </c>
      <c r="H56" s="0" t="n">
        <f aca="false">H51*12</f>
        <v>0</v>
      </c>
      <c r="I56" s="0" t="n">
        <f aca="false">I51*12</f>
        <v>0</v>
      </c>
      <c r="J56" s="0" t="n">
        <f aca="false">J51*12</f>
        <v>0</v>
      </c>
      <c r="K56" s="0" t="n">
        <f aca="false">K51*12</f>
        <v>0</v>
      </c>
      <c r="L56" s="0" t="n">
        <f aca="false">L51*12</f>
        <v>0</v>
      </c>
      <c r="M56" s="0" t="n">
        <f aca="false">M51*12</f>
        <v>0</v>
      </c>
      <c r="N56" s="0" t="n">
        <f aca="false">N51*12</f>
        <v>0</v>
      </c>
      <c r="O56" s="0" t="n">
        <f aca="false">O51*12</f>
        <v>0</v>
      </c>
      <c r="P56" s="0" t="n">
        <f aca="false">P51*12</f>
        <v>0</v>
      </c>
      <c r="Q56" s="0" t="n">
        <f aca="false">Q51*12</f>
        <v>0</v>
      </c>
      <c r="R56" s="0" t="n">
        <f aca="false">R51*12</f>
        <v>0</v>
      </c>
      <c r="S56" s="0" t="s">
        <v>76</v>
      </c>
    </row>
    <row r="57" customFormat="false" ht="15" hidden="false" customHeight="false" outlineLevel="0" collapsed="false">
      <c r="A57" s="1" t="s">
        <v>82</v>
      </c>
      <c r="D57" s="0" t="n">
        <f aca="false">D56*D27</f>
        <v>83407680</v>
      </c>
      <c r="E57" s="0" t="n">
        <f aca="false">E56*E27</f>
        <v>225530880</v>
      </c>
      <c r="F57" s="0" t="n">
        <f aca="false">F56*F27</f>
        <v>170609040</v>
      </c>
      <c r="G57" s="0" t="n">
        <f aca="false">G56*G27</f>
        <v>86034600</v>
      </c>
      <c r="H57" s="0" t="n">
        <f aca="false">H56*H27</f>
        <v>0</v>
      </c>
      <c r="I57" s="0" t="n">
        <f aca="false">I56*I27</f>
        <v>0</v>
      </c>
      <c r="J57" s="0" t="n">
        <f aca="false">J56*J27</f>
        <v>0</v>
      </c>
      <c r="K57" s="0" t="n">
        <f aca="false">K56*K27</f>
        <v>0</v>
      </c>
      <c r="L57" s="0" t="n">
        <f aca="false">L56*L27</f>
        <v>0</v>
      </c>
      <c r="M57" s="0" t="n">
        <f aca="false">M56*M27</f>
        <v>0</v>
      </c>
      <c r="N57" s="0" t="n">
        <f aca="false">N56*N27</f>
        <v>0</v>
      </c>
      <c r="O57" s="0" t="n">
        <f aca="false">O56*O27</f>
        <v>0</v>
      </c>
      <c r="P57" s="0" t="n">
        <f aca="false">P56*P27</f>
        <v>0</v>
      </c>
      <c r="Q57" s="0" t="n">
        <f aca="false">Q56*Q27</f>
        <v>0</v>
      </c>
      <c r="R57" s="0" t="n">
        <f aca="false">R56*R27</f>
        <v>0</v>
      </c>
      <c r="S57" s="0" t="n">
        <f aca="false">SUM(D57:R57)</f>
        <v>565582200</v>
      </c>
    </row>
    <row r="58" customFormat="false" ht="15" hidden="false" customHeight="false" outlineLevel="0" collapsed="false">
      <c r="A58" s="1" t="s">
        <v>83</v>
      </c>
      <c r="D58" s="0" t="n">
        <f aca="false">D41+D46+D48+D49+D50+$C$62-D39</f>
        <v>2166880</v>
      </c>
      <c r="E58" s="0" t="n">
        <f aca="false">E41+E46+E48+E49+E50+$C$62-E39</f>
        <v>2199280</v>
      </c>
      <c r="F58" s="0" t="n">
        <f aca="false">F41+F46+F48+F49+F50+$C$62-F39</f>
        <v>2219570</v>
      </c>
      <c r="G58" s="0" t="n">
        <f aca="false">G41+G46+G48+G49+G50+$C$62-G39</f>
        <v>2239850</v>
      </c>
      <c r="H58" s="0" t="n">
        <f aca="false">H41+H46+H48+H49+H50+$C$62-H39</f>
        <v>0</v>
      </c>
      <c r="I58" s="0" t="n">
        <f aca="false">I41+I46+I48+I49+I50+$C$62-I39</f>
        <v>0</v>
      </c>
      <c r="J58" s="0" t="n">
        <f aca="false">J41+J46+J48+J49+J50+$C$62-J39</f>
        <v>0</v>
      </c>
      <c r="K58" s="0" t="n">
        <f aca="false">K41+K46+K48+K49+K50+$C$62-K39</f>
        <v>0</v>
      </c>
      <c r="L58" s="0" t="n">
        <f aca="false">L41+L46+L48+L49+L50+$C$62-L39</f>
        <v>0</v>
      </c>
      <c r="M58" s="0" t="n">
        <f aca="false">M41+M46+M48+M49+M50+$C$62-M39</f>
        <v>0</v>
      </c>
      <c r="N58" s="0" t="n">
        <f aca="false">N41+N46+N48+N49+N50+$C$62-N39</f>
        <v>0</v>
      </c>
      <c r="O58" s="0" t="n">
        <f aca="false">O41+O46+O48+O49+O50+$C$62-O39</f>
        <v>0</v>
      </c>
      <c r="P58" s="0" t="n">
        <f aca="false">P41+P46+P48+P49+P50+$C$62-P39</f>
        <v>0</v>
      </c>
      <c r="Q58" s="0" t="n">
        <f aca="false">Q41+Q46+Q48+Q49+Q50+$C$62-Q39</f>
        <v>0</v>
      </c>
      <c r="R58" s="0" t="n">
        <f aca="false">R41+R46+R48+R49+R50+$C$62-R39</f>
        <v>0</v>
      </c>
      <c r="S58" s="0" t="s">
        <v>84</v>
      </c>
    </row>
    <row r="59" customFormat="false" ht="15" hidden="false" customHeight="false" outlineLevel="0" collapsed="false">
      <c r="A59" s="1" t="s">
        <v>85</v>
      </c>
      <c r="D59" s="0" t="n">
        <f aca="false">D41+D44+D48+D49+D50+$C$62</f>
        <v>2316880</v>
      </c>
      <c r="E59" s="0" t="n">
        <f aca="false">E41+E44+E48+E49+E50+$C$62</f>
        <v>2349280</v>
      </c>
      <c r="F59" s="0" t="n">
        <f aca="false">F41+F44+F48+F49+F50+$C$62</f>
        <v>2369570</v>
      </c>
      <c r="G59" s="0" t="n">
        <f aca="false">G41+G44+G48+G49+G50+$C$62</f>
        <v>2389850</v>
      </c>
      <c r="H59" s="0" t="n">
        <f aca="false">H41+H44+H48+H49+H50+$C$62</f>
        <v>0</v>
      </c>
      <c r="I59" s="0" t="n">
        <f aca="false">I41+I44+I48+I49+I50+$C$62</f>
        <v>0</v>
      </c>
      <c r="J59" s="0" t="n">
        <f aca="false">J41+J44+J48+J49+J50+$C$62</f>
        <v>0</v>
      </c>
      <c r="K59" s="0" t="n">
        <f aca="false">K41+K44+K48+K49+K50+$C$62</f>
        <v>0</v>
      </c>
      <c r="L59" s="0" t="n">
        <f aca="false">L41+L44+L48+L49+L50+$C$62</f>
        <v>0</v>
      </c>
      <c r="M59" s="0" t="n">
        <f aca="false">M41+M44+M48+M49+M50+$C$62</f>
        <v>0</v>
      </c>
      <c r="N59" s="0" t="n">
        <f aca="false">N41+N44+N48+N49+N50+$C$62</f>
        <v>0</v>
      </c>
      <c r="O59" s="0" t="n">
        <f aca="false">O41+O44+O48+O49+O50+$C$62</f>
        <v>0</v>
      </c>
      <c r="P59" s="0" t="n">
        <f aca="false">P41+P44+P48+P49+P50+$C$62</f>
        <v>0</v>
      </c>
      <c r="Q59" s="0" t="n">
        <f aca="false">Q41+Q44+Q48+Q49+Q50+$C$62</f>
        <v>0</v>
      </c>
      <c r="R59" s="0" t="n">
        <f aca="false">R41+R44+R48+R49+R50+$C$62</f>
        <v>0</v>
      </c>
      <c r="S59" s="0" t="s">
        <v>76</v>
      </c>
    </row>
    <row r="61" customFormat="false" ht="15" hidden="false" customHeight="false" outlineLevel="0" collapsed="false">
      <c r="A61" s="1" t="s">
        <v>86</v>
      </c>
      <c r="D61" s="0" t="n">
        <f aca="false">D51-'급여테이블(변경전)'!D51</f>
        <v>10000</v>
      </c>
      <c r="E61" s="0" t="n">
        <f aca="false">E51-'급여테이블(변경전)'!E51</f>
        <v>10140</v>
      </c>
      <c r="F61" s="0" t="n">
        <f aca="false">F51-'급여테이블(변경전)'!F51</f>
        <v>10150</v>
      </c>
      <c r="G61" s="0" t="n">
        <f aca="false">G51-'급여테이블(변경전)'!G51</f>
        <v>10140</v>
      </c>
    </row>
    <row r="62" customFormat="false" ht="15" hidden="false" customHeight="false" outlineLevel="0" collapsed="false">
      <c r="C62" s="0" t="n">
        <v>0</v>
      </c>
    </row>
    <row r="63" customFormat="false" ht="15" hidden="false" customHeight="false" outlineLevel="0" collapsed="false">
      <c r="A63" s="1" t="s">
        <v>87</v>
      </c>
      <c r="R63" s="0" t="s">
        <v>18</v>
      </c>
    </row>
    <row r="64" customFormat="false" ht="15" hidden="false" customHeight="false" outlineLevel="0" collapsed="false">
      <c r="A64" s="1" t="s">
        <v>19</v>
      </c>
      <c r="D64" s="0" t="s">
        <v>48</v>
      </c>
      <c r="P64" s="0" t="s">
        <v>49</v>
      </c>
      <c r="S64" s="1" t="s">
        <v>55</v>
      </c>
    </row>
    <row r="65" customFormat="false" ht="15" hidden="false" customHeight="false" outlineLevel="0" collapsed="false">
      <c r="D65" s="1" t="s">
        <v>30</v>
      </c>
      <c r="E65" s="1" t="s">
        <v>88</v>
      </c>
      <c r="Q65" s="1" t="s">
        <v>27</v>
      </c>
    </row>
    <row r="66" customFormat="false" ht="15" hidden="false" customHeight="false" outlineLevel="0" collapsed="false">
      <c r="A66" s="1" t="s">
        <v>56</v>
      </c>
      <c r="D66" s="0" t="n">
        <f aca="false">10320*209</f>
        <v>2156880</v>
      </c>
      <c r="E66" s="0" t="n">
        <f aca="false">10320*209</f>
        <v>2156880</v>
      </c>
      <c r="Q66" s="0" t="n">
        <f aca="false">10320*209</f>
        <v>2156880</v>
      </c>
    </row>
    <row r="67" customFormat="false" ht="15" hidden="false" customHeight="false" outlineLevel="0" collapsed="false">
      <c r="A67" s="1" t="s">
        <v>57</v>
      </c>
      <c r="D67" s="0" t="n">
        <v>200000</v>
      </c>
      <c r="E67" s="0" t="n">
        <v>150000</v>
      </c>
      <c r="Q67" s="0" t="n">
        <v>400000</v>
      </c>
    </row>
    <row r="68" customFormat="false" ht="15" hidden="false" customHeight="false" outlineLevel="0" collapsed="false">
      <c r="A68" s="1" t="s">
        <v>58</v>
      </c>
      <c r="D68" s="0" t="n">
        <v>150000</v>
      </c>
      <c r="E68" s="0" t="n">
        <v>100000</v>
      </c>
      <c r="Q68" s="0" t="n">
        <v>300000</v>
      </c>
    </row>
    <row r="69" customFormat="false" ht="15" hidden="false" customHeight="false" outlineLevel="0" collapsed="false">
      <c r="A69" s="1" t="s">
        <v>59</v>
      </c>
      <c r="D69" s="0" t="n">
        <v>50000</v>
      </c>
      <c r="E69" s="0" t="n">
        <v>30000</v>
      </c>
      <c r="Q69" s="0" t="n">
        <v>80000</v>
      </c>
    </row>
    <row r="70" customFormat="false" ht="15" hidden="false" customHeight="false" outlineLevel="0" collapsed="false">
      <c r="A70" s="1" t="s">
        <v>60</v>
      </c>
      <c r="D70" s="0" t="n">
        <v>100000</v>
      </c>
      <c r="E70" s="0" t="n">
        <v>100000</v>
      </c>
      <c r="Q70" s="0" t="n">
        <v>100000</v>
      </c>
    </row>
    <row r="71" customFormat="false" ht="15" hidden="false" customHeight="false" outlineLevel="0" collapsed="false">
      <c r="A71" s="1" t="s">
        <v>61</v>
      </c>
    </row>
    <row r="72" customFormat="false" ht="15" hidden="false" customHeight="false" outlineLevel="0" collapsed="false">
      <c r="A72" s="1" t="s">
        <v>62</v>
      </c>
      <c r="D72" s="0" t="n">
        <f aca="false">SUM(D66:D71)</f>
        <v>2656880</v>
      </c>
      <c r="E72" s="0" t="n">
        <f aca="false">SUM(E66:E71)</f>
        <v>2536880</v>
      </c>
      <c r="F72" s="0" t="n">
        <f aca="false">SUM(F66:F71)</f>
        <v>0</v>
      </c>
      <c r="G72" s="0" t="n">
        <f aca="false">SUM(G66:G71)</f>
        <v>0</v>
      </c>
      <c r="H72" s="0" t="n">
        <f aca="false">SUM(H66:H71)</f>
        <v>0</v>
      </c>
      <c r="I72" s="0" t="n">
        <f aca="false">SUM(I66:I71)</f>
        <v>0</v>
      </c>
      <c r="J72" s="0" t="n">
        <f aca="false">SUM(J66:J71)</f>
        <v>0</v>
      </c>
      <c r="K72" s="0" t="n">
        <f aca="false">SUM(K66:K71)</f>
        <v>0</v>
      </c>
      <c r="L72" s="0" t="n">
        <f aca="false">SUM(L66:L71)</f>
        <v>0</v>
      </c>
      <c r="M72" s="0" t="n">
        <f aca="false">SUM(M66:M71)</f>
        <v>0</v>
      </c>
      <c r="N72" s="0" t="n">
        <f aca="false">SUM(N66:N71)</f>
        <v>0</v>
      </c>
      <c r="O72" s="0" t="n">
        <f aca="false">SUM(O66:O71)</f>
        <v>0</v>
      </c>
      <c r="P72" s="0" t="n">
        <f aca="false">SUM(P66:P71)</f>
        <v>0</v>
      </c>
      <c r="Q72" s="0" t="n">
        <f aca="false">SUM(Q66:Q71)</f>
        <v>3036880</v>
      </c>
      <c r="R72" s="0" t="n">
        <f aca="false">SUM(R66:R71)</f>
        <v>0</v>
      </c>
    </row>
    <row r="73" customFormat="false" ht="15" hidden="false" customHeight="false" outlineLevel="0" collapsed="false">
      <c r="A73" s="1" t="s">
        <v>63</v>
      </c>
      <c r="C73" s="0" t="s">
        <v>64</v>
      </c>
      <c r="D73" s="0" t="n">
        <v>200000</v>
      </c>
      <c r="E73" s="0" t="n">
        <v>200000</v>
      </c>
      <c r="Q73" s="0" t="n">
        <v>200000</v>
      </c>
      <c r="S73" s="1" t="s">
        <v>65</v>
      </c>
    </row>
    <row r="74" customFormat="false" ht="15" hidden="false" customHeight="false" outlineLevel="0" collapsed="false">
      <c r="C74" s="0" t="s">
        <v>66</v>
      </c>
      <c r="D74" s="0" t="n">
        <v>150000</v>
      </c>
      <c r="E74" s="0" t="n">
        <v>150000</v>
      </c>
      <c r="Q74" s="0" t="n">
        <v>150000</v>
      </c>
    </row>
    <row r="75" customFormat="false" ht="15" hidden="false" customHeight="false" outlineLevel="0" collapsed="false">
      <c r="C75" s="0" t="s">
        <v>67</v>
      </c>
      <c r="D75" s="0" t="n">
        <v>100000</v>
      </c>
      <c r="E75" s="0" t="n">
        <v>100000</v>
      </c>
      <c r="Q75" s="0" t="n">
        <v>100000</v>
      </c>
    </row>
    <row r="76" customFormat="false" ht="15" hidden="false" customHeight="false" outlineLevel="0" collapsed="false">
      <c r="C76" s="0" t="s">
        <v>68</v>
      </c>
      <c r="D76" s="0" t="n">
        <v>50000</v>
      </c>
      <c r="E76" s="0" t="n">
        <v>50000</v>
      </c>
      <c r="Q76" s="0" t="n">
        <v>50000</v>
      </c>
    </row>
    <row r="77" customFormat="false" ht="15" hidden="false" customHeight="false" outlineLevel="0" collapsed="false">
      <c r="C77" s="0" t="s">
        <v>69</v>
      </c>
      <c r="D77" s="0" t="n">
        <v>20000</v>
      </c>
      <c r="E77" s="0" t="n">
        <v>20000</v>
      </c>
      <c r="Q77" s="0" t="n">
        <v>20000</v>
      </c>
    </row>
    <row r="78" customFormat="false" ht="15" hidden="false" customHeight="false" outlineLevel="0" collapsed="false">
      <c r="C78" s="0" t="s">
        <v>70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</row>
    <row r="79" customFormat="false" ht="15" hidden="false" customHeight="false" outlineLevel="0" collapsed="false">
      <c r="A79" s="1" t="s">
        <v>71</v>
      </c>
      <c r="D79" s="0" t="n">
        <f aca="false">ROUNDUP(D84*5,-1)</f>
        <v>95350</v>
      </c>
      <c r="E79" s="0" t="n">
        <f aca="false">ROUNDUP(E84*5,-1)</f>
        <v>91040</v>
      </c>
      <c r="Q79" s="0" t="n">
        <f aca="false">ROUNDUP(Q84*5,-1)</f>
        <v>108980</v>
      </c>
      <c r="S79" s="1" t="s">
        <v>89</v>
      </c>
    </row>
    <row r="80" customFormat="false" ht="15" hidden="false" customHeight="false" outlineLevel="0" collapsed="false">
      <c r="A80" s="1" t="s">
        <v>73</v>
      </c>
    </row>
    <row r="81" customFormat="false" ht="15" hidden="false" customHeight="false" outlineLevel="0" collapsed="false">
      <c r="A81" s="1" t="s">
        <v>74</v>
      </c>
    </row>
    <row r="82" customFormat="false" ht="15" hidden="false" customHeight="false" outlineLevel="0" collapsed="false">
      <c r="A82" s="1" t="s">
        <v>75</v>
      </c>
      <c r="D82" s="0" t="n">
        <f aca="false">D72+D75+SUM(D79:D81)</f>
        <v>2852230</v>
      </c>
      <c r="E82" s="0" t="n">
        <f aca="false">E72+E75+SUM(E79:E81)</f>
        <v>2727920</v>
      </c>
      <c r="F82" s="0" t="n">
        <f aca="false">F72+F75+SUM(F79:F81)</f>
        <v>0</v>
      </c>
      <c r="G82" s="0" t="n">
        <f aca="false">G72+G75+SUM(G79:G81)</f>
        <v>0</v>
      </c>
      <c r="H82" s="0" t="n">
        <f aca="false">H72+H75+SUM(H79:H81)</f>
        <v>0</v>
      </c>
      <c r="I82" s="0" t="n">
        <f aca="false">I72+I75+SUM(I79:I81)</f>
        <v>0</v>
      </c>
      <c r="J82" s="0" t="n">
        <f aca="false">J72+J75+SUM(J79:J81)</f>
        <v>0</v>
      </c>
      <c r="K82" s="0" t="n">
        <f aca="false">K72+K75+SUM(K79:K81)</f>
        <v>0</v>
      </c>
      <c r="L82" s="0" t="n">
        <f aca="false">L72+L75+SUM(L79:L81)</f>
        <v>0</v>
      </c>
      <c r="M82" s="0" t="n">
        <f aca="false">M72+M75+SUM(M79:M81)</f>
        <v>0</v>
      </c>
      <c r="N82" s="0" t="n">
        <f aca="false">N72+N75+SUM(N79:N81)</f>
        <v>0</v>
      </c>
      <c r="O82" s="0" t="n">
        <f aca="false">O72+O75+SUM(O79:O81)</f>
        <v>0</v>
      </c>
      <c r="P82" s="0" t="n">
        <f aca="false">P72+P75+SUM(P79:P81)</f>
        <v>0</v>
      </c>
      <c r="Q82" s="0" t="n">
        <f aca="false">Q72+Q75+SUM(Q79:Q81)</f>
        <v>3245860</v>
      </c>
      <c r="R82" s="0" t="n">
        <f aca="false">R72+R75+SUM(R79:R81)</f>
        <v>0</v>
      </c>
      <c r="S82" s="0" t="s">
        <v>76</v>
      </c>
    </row>
    <row r="83" customFormat="false" ht="15" hidden="false" customHeight="false" outlineLevel="0" collapsed="false">
      <c r="A83" s="1" t="s">
        <v>77</v>
      </c>
      <c r="D83" s="0" t="n">
        <f aca="false">D72/209*8</f>
        <v>101698.755980861</v>
      </c>
      <c r="E83" s="0" t="n">
        <f aca="false">E72/209*8</f>
        <v>97105.4545454545</v>
      </c>
      <c r="F83" s="0" t="n">
        <f aca="false">F72/209*8</f>
        <v>0</v>
      </c>
      <c r="G83" s="0" t="n">
        <f aca="false">G72/209*8</f>
        <v>0</v>
      </c>
      <c r="H83" s="0" t="n">
        <f aca="false">H72/209*8</f>
        <v>0</v>
      </c>
      <c r="I83" s="0" t="n">
        <f aca="false">I72/209*8</f>
        <v>0</v>
      </c>
      <c r="J83" s="0" t="n">
        <f aca="false">J72/209*8</f>
        <v>0</v>
      </c>
      <c r="K83" s="0" t="n">
        <f aca="false">K72/209*8</f>
        <v>0</v>
      </c>
      <c r="L83" s="0" t="n">
        <f aca="false">L72/209*8</f>
        <v>0</v>
      </c>
      <c r="M83" s="0" t="n">
        <f aca="false">M72/209*8</f>
        <v>0</v>
      </c>
      <c r="N83" s="0" t="n">
        <f aca="false">N72/209*8</f>
        <v>0</v>
      </c>
      <c r="O83" s="0" t="n">
        <f aca="false">O72/209*8</f>
        <v>0</v>
      </c>
      <c r="P83" s="0" t="n">
        <f aca="false">P72/209*8</f>
        <v>0</v>
      </c>
      <c r="Q83" s="0" t="n">
        <f aca="false">Q72/209*8</f>
        <v>116244.210526316</v>
      </c>
      <c r="R83" s="0" t="n">
        <f aca="false">R72/209*8</f>
        <v>0</v>
      </c>
    </row>
    <row r="84" customFormat="false" ht="15" hidden="false" customHeight="false" outlineLevel="0" collapsed="false">
      <c r="A84" s="1" t="s">
        <v>78</v>
      </c>
      <c r="D84" s="0" t="n">
        <f aca="false">D72/209*1.5</f>
        <v>19068.5167464115</v>
      </c>
      <c r="E84" s="0" t="n">
        <f aca="false">E72/209*1.5</f>
        <v>18207.2727272727</v>
      </c>
      <c r="F84" s="0" t="n">
        <f aca="false">F72/209*1.5</f>
        <v>0</v>
      </c>
      <c r="G84" s="0" t="n">
        <f aca="false">G72/209*1.5</f>
        <v>0</v>
      </c>
      <c r="H84" s="0" t="n">
        <f aca="false">H72/209*1.5</f>
        <v>0</v>
      </c>
      <c r="I84" s="0" t="n">
        <f aca="false">I72/209*1.5</f>
        <v>0</v>
      </c>
      <c r="J84" s="0" t="n">
        <f aca="false">J72/209*1.5</f>
        <v>0</v>
      </c>
      <c r="K84" s="0" t="n">
        <f aca="false">K72/209*1.5</f>
        <v>0</v>
      </c>
      <c r="L84" s="0" t="n">
        <f aca="false">L72/209*1.5</f>
        <v>0</v>
      </c>
      <c r="M84" s="0" t="n">
        <f aca="false">M72/209*1.5</f>
        <v>0</v>
      </c>
      <c r="N84" s="0" t="n">
        <f aca="false">N72/209*1.5</f>
        <v>0</v>
      </c>
      <c r="O84" s="0" t="n">
        <f aca="false">O72/209*1.5</f>
        <v>0</v>
      </c>
      <c r="P84" s="0" t="n">
        <f aca="false">P72/209*1.5</f>
        <v>0</v>
      </c>
      <c r="Q84" s="0" t="n">
        <f aca="false">Q72/209*1.5</f>
        <v>21795.7894736842</v>
      </c>
      <c r="R84" s="0" t="n">
        <f aca="false">R72/209*1.5</f>
        <v>0</v>
      </c>
    </row>
    <row r="85" customFormat="false" ht="15" hidden="false" customHeight="false" outlineLevel="0" collapsed="false">
      <c r="A85" s="1" t="s">
        <v>79</v>
      </c>
      <c r="D85" s="0" t="n">
        <f aca="false">D72/209*1.5</f>
        <v>19068.5167464115</v>
      </c>
      <c r="E85" s="0" t="n">
        <f aca="false">E72/209*1.5</f>
        <v>18207.2727272727</v>
      </c>
      <c r="F85" s="0" t="n">
        <f aca="false">F72/209*1.5</f>
        <v>0</v>
      </c>
      <c r="G85" s="0" t="n">
        <f aca="false">G72/209*1.5</f>
        <v>0</v>
      </c>
      <c r="H85" s="0" t="n">
        <f aca="false">H72/209*1.5</f>
        <v>0</v>
      </c>
      <c r="I85" s="0" t="n">
        <f aca="false">I72/209*1.5</f>
        <v>0</v>
      </c>
      <c r="J85" s="0" t="n">
        <f aca="false">J72/209*1.5</f>
        <v>0</v>
      </c>
      <c r="K85" s="0" t="n">
        <f aca="false">K72/209*1.5</f>
        <v>0</v>
      </c>
      <c r="L85" s="0" t="n">
        <f aca="false">L72/209*1.5</f>
        <v>0</v>
      </c>
      <c r="M85" s="0" t="n">
        <f aca="false">M72/209*1.5</f>
        <v>0</v>
      </c>
      <c r="N85" s="0" t="n">
        <f aca="false">N72/209*1.5</f>
        <v>0</v>
      </c>
      <c r="O85" s="0" t="n">
        <f aca="false">O72/209*1.5</f>
        <v>0</v>
      </c>
      <c r="P85" s="0" t="n">
        <f aca="false">P72/209*1.5</f>
        <v>0</v>
      </c>
      <c r="Q85" s="0" t="n">
        <f aca="false">Q72/209*1.5</f>
        <v>21795.7894736842</v>
      </c>
      <c r="R85" s="0" t="n">
        <f aca="false">R72/209*1.5</f>
        <v>0</v>
      </c>
    </row>
    <row r="86" customFormat="false" ht="15" hidden="false" customHeight="false" outlineLevel="0" collapsed="false">
      <c r="A86" s="1" t="s">
        <v>80</v>
      </c>
      <c r="D86" s="0" t="n">
        <f aca="false">D72/209*0.5</f>
        <v>6356.17224880383</v>
      </c>
      <c r="E86" s="0" t="n">
        <f aca="false">E72/209*0.5</f>
        <v>6069.09090909091</v>
      </c>
      <c r="F86" s="0" t="n">
        <f aca="false">F72/209*0.5</f>
        <v>0</v>
      </c>
      <c r="G86" s="0" t="n">
        <f aca="false">G72/209*0.5</f>
        <v>0</v>
      </c>
      <c r="H86" s="0" t="n">
        <f aca="false">H72/209*0.5</f>
        <v>0</v>
      </c>
      <c r="I86" s="0" t="n">
        <f aca="false">I72/209*0.5</f>
        <v>0</v>
      </c>
      <c r="J86" s="0" t="n">
        <f aca="false">J72/209*0.5</f>
        <v>0</v>
      </c>
      <c r="K86" s="0" t="n">
        <f aca="false">K72/209*0.5</f>
        <v>0</v>
      </c>
      <c r="L86" s="0" t="n">
        <f aca="false">L72/209*0.5</f>
        <v>0</v>
      </c>
      <c r="M86" s="0" t="n">
        <f aca="false">M72/209*0.5</f>
        <v>0</v>
      </c>
      <c r="N86" s="0" t="n">
        <f aca="false">N72/209*0.5</f>
        <v>0</v>
      </c>
      <c r="O86" s="0" t="n">
        <f aca="false">O72/209*0.5</f>
        <v>0</v>
      </c>
      <c r="P86" s="0" t="n">
        <f aca="false">P72/209*0.5</f>
        <v>0</v>
      </c>
      <c r="Q86" s="0" t="n">
        <f aca="false">Q72/209*0.5</f>
        <v>7265.26315789474</v>
      </c>
      <c r="R86" s="0" t="n">
        <f aca="false">R72/209*0.5</f>
        <v>0</v>
      </c>
    </row>
    <row r="87" customFormat="false" ht="15" hidden="false" customHeight="false" outlineLevel="0" collapsed="false">
      <c r="A87" s="1" t="s">
        <v>81</v>
      </c>
      <c r="D87" s="0" t="n">
        <f aca="false">D82*12</f>
        <v>34226760</v>
      </c>
      <c r="E87" s="0" t="n">
        <f aca="false">E82*12</f>
        <v>32735040</v>
      </c>
      <c r="F87" s="0" t="n">
        <f aca="false">F82*12</f>
        <v>0</v>
      </c>
      <c r="G87" s="0" t="n">
        <f aca="false">G82*12</f>
        <v>0</v>
      </c>
      <c r="H87" s="0" t="n">
        <f aca="false">H82*12</f>
        <v>0</v>
      </c>
      <c r="I87" s="0" t="n">
        <f aca="false">I82*12</f>
        <v>0</v>
      </c>
      <c r="J87" s="0" t="n">
        <f aca="false">J82*12</f>
        <v>0</v>
      </c>
      <c r="K87" s="0" t="n">
        <f aca="false">K82*12</f>
        <v>0</v>
      </c>
      <c r="L87" s="0" t="n">
        <f aca="false">L82*12</f>
        <v>0</v>
      </c>
      <c r="M87" s="0" t="n">
        <f aca="false">M82*12</f>
        <v>0</v>
      </c>
      <c r="N87" s="0" t="n">
        <f aca="false">N82*12</f>
        <v>0</v>
      </c>
      <c r="O87" s="0" t="n">
        <f aca="false">O82*12</f>
        <v>0</v>
      </c>
      <c r="P87" s="0" t="n">
        <f aca="false">P82*12</f>
        <v>0</v>
      </c>
      <c r="Q87" s="0" t="n">
        <f aca="false">Q82*12</f>
        <v>38950320</v>
      </c>
      <c r="R87" s="0" t="n">
        <f aca="false">R82*12</f>
        <v>0</v>
      </c>
      <c r="S87" s="0" t="s">
        <v>76</v>
      </c>
    </row>
    <row r="88" customFormat="false" ht="15" hidden="false" customHeight="false" outlineLevel="0" collapsed="false">
      <c r="A88" s="1" t="s">
        <v>82</v>
      </c>
      <c r="D88" s="0" t="n">
        <f aca="false">D87*D30</f>
        <v>68453520</v>
      </c>
      <c r="E88" s="0" t="n">
        <f aca="false">E87*E30</f>
        <v>32735040</v>
      </c>
      <c r="F88" s="0" t="n">
        <f aca="false">F87*F30</f>
        <v>0</v>
      </c>
      <c r="G88" s="0" t="n">
        <f aca="false">G87*G30</f>
        <v>0</v>
      </c>
      <c r="H88" s="0" t="n">
        <f aca="false">H87*H30</f>
        <v>0</v>
      </c>
      <c r="I88" s="0" t="n">
        <f aca="false">I87*I30</f>
        <v>0</v>
      </c>
      <c r="J88" s="0" t="n">
        <f aca="false">J87*J30</f>
        <v>0</v>
      </c>
      <c r="K88" s="0" t="n">
        <f aca="false">K87*K30</f>
        <v>0</v>
      </c>
      <c r="L88" s="0" t="n">
        <f aca="false">L87*L30</f>
        <v>0</v>
      </c>
      <c r="M88" s="0" t="n">
        <f aca="false">M87*M30</f>
        <v>0</v>
      </c>
      <c r="N88" s="0" t="n">
        <f aca="false">N87*N30</f>
        <v>0</v>
      </c>
      <c r="O88" s="0" t="n">
        <f aca="false">O87*O30</f>
        <v>0</v>
      </c>
      <c r="P88" s="0" t="n">
        <f aca="false">P87*P30</f>
        <v>0</v>
      </c>
      <c r="Q88" s="0" t="n">
        <f aca="false">Q87*Q30</f>
        <v>0</v>
      </c>
      <c r="R88" s="0" t="n">
        <f aca="false">R87*R30</f>
        <v>0</v>
      </c>
      <c r="S88" s="0" t="n">
        <f aca="false">SUM(D88:R88)</f>
        <v>101188560</v>
      </c>
    </row>
    <row r="89" customFormat="false" ht="15" hidden="false" customHeight="false" outlineLevel="0" collapsed="false">
      <c r="A89" s="1" t="s">
        <v>83</v>
      </c>
      <c r="D89" s="0" t="n">
        <f aca="false">D72+D77+D79+D80+D81+$C$62-D70</f>
        <v>2672230</v>
      </c>
      <c r="E89" s="0" t="n">
        <f aca="false">E72+E77+E79+E80+E81+$C$62-E70</f>
        <v>2547920</v>
      </c>
      <c r="F89" s="0" t="n">
        <f aca="false">F72+F77+F79+F80+F81+$C$62-F70</f>
        <v>0</v>
      </c>
      <c r="G89" s="0" t="n">
        <f aca="false">G72+G77+G79+G80+G81+$C$62-G70</f>
        <v>0</v>
      </c>
      <c r="H89" s="0" t="n">
        <f aca="false">H72+H77+H79+H80+H81+$C$62-H70</f>
        <v>0</v>
      </c>
      <c r="I89" s="0" t="n">
        <f aca="false">I72+I77+I79+I80+I81+$C$62-I70</f>
        <v>0</v>
      </c>
      <c r="J89" s="0" t="n">
        <f aca="false">J72+J77+J79+J80+J81+$C$62-J70</f>
        <v>0</v>
      </c>
      <c r="K89" s="0" t="n">
        <f aca="false">K72+K77+K79+K80+K81+$C$62-K70</f>
        <v>0</v>
      </c>
      <c r="L89" s="0" t="n">
        <f aca="false">L72+L77+L79+L80+L81+$C$62-L70</f>
        <v>0</v>
      </c>
      <c r="M89" s="0" t="n">
        <f aca="false">M72+M77+M79+M80+M81+$C$62-M70</f>
        <v>0</v>
      </c>
      <c r="N89" s="0" t="n">
        <f aca="false">N72+N77+N79+N80+N81+$C$62-N70</f>
        <v>0</v>
      </c>
      <c r="O89" s="0" t="n">
        <f aca="false">O72+O77+O79+O80+O81+$C$62-O70</f>
        <v>0</v>
      </c>
      <c r="P89" s="0" t="n">
        <f aca="false">P72+P77+P79+P80+P81+$C$62-P70</f>
        <v>0</v>
      </c>
      <c r="Q89" s="0" t="n">
        <f aca="false">Q72+Q77+Q79+Q80+Q81+$C$62-Q70</f>
        <v>3065860</v>
      </c>
      <c r="R89" s="0" t="n">
        <f aca="false">R72+R77+R79+R80+R81+$C$62-R70</f>
        <v>0</v>
      </c>
      <c r="S89" s="0" t="s">
        <v>84</v>
      </c>
    </row>
    <row r="90" customFormat="false" ht="15" hidden="false" customHeight="false" outlineLevel="0" collapsed="false">
      <c r="A90" s="1" t="s">
        <v>85</v>
      </c>
      <c r="D90" s="0" t="n">
        <f aca="false">D72+D75+D79+D80+D81+$C$62</f>
        <v>2852230</v>
      </c>
      <c r="E90" s="0" t="n">
        <f aca="false">E72+E75+E79+E80+E81+$C$62</f>
        <v>2727920</v>
      </c>
      <c r="F90" s="0" t="n">
        <f aca="false">F72+F75+F79+F80+F81+$C$62</f>
        <v>0</v>
      </c>
      <c r="G90" s="0" t="n">
        <f aca="false">G72+G75+G79+G80+G81+$C$62</f>
        <v>0</v>
      </c>
      <c r="H90" s="0" t="n">
        <f aca="false">H72+H75+H79+H80+H81+$C$62</f>
        <v>0</v>
      </c>
      <c r="I90" s="0" t="n">
        <f aca="false">I72+I75+I79+I80+I81+$C$62</f>
        <v>0</v>
      </c>
      <c r="J90" s="0" t="n">
        <f aca="false">J72+J75+J79+J80+J81+$C$62</f>
        <v>0</v>
      </c>
      <c r="K90" s="0" t="n">
        <f aca="false">K72+K75+K79+K80+K81+$C$62</f>
        <v>0</v>
      </c>
      <c r="L90" s="0" t="n">
        <f aca="false">L72+L75+L79+L80+L81+$C$62</f>
        <v>0</v>
      </c>
      <c r="M90" s="0" t="n">
        <f aca="false">M72+M75+M79+M80+M81+$C$62</f>
        <v>0</v>
      </c>
      <c r="N90" s="0" t="n">
        <f aca="false">N72+N75+N79+N80+N81+$C$62</f>
        <v>0</v>
      </c>
      <c r="O90" s="0" t="n">
        <f aca="false">O72+O75+O79+O80+O81+$C$62</f>
        <v>0</v>
      </c>
      <c r="P90" s="0" t="n">
        <f aca="false">P72+P75+P79+P80+P81+$C$62</f>
        <v>0</v>
      </c>
      <c r="Q90" s="0" t="n">
        <f aca="false">Q72+Q75+Q79+Q80+Q81+$C$62</f>
        <v>3245860</v>
      </c>
      <c r="R90" s="0" t="n">
        <f aca="false">R72+R75+R79+R80+R81+$C$62</f>
        <v>0</v>
      </c>
      <c r="S90" s="0" t="s">
        <v>76</v>
      </c>
    </row>
    <row r="92" customFormat="false" ht="15" hidden="false" customHeight="false" outlineLevel="0" collapsed="false">
      <c r="A92" s="1" t="s">
        <v>86</v>
      </c>
      <c r="D92" s="0" t="n">
        <f aca="false">D82-'급여테이블(변경전)'!D82</f>
        <v>10360</v>
      </c>
      <c r="E92" s="0" t="n">
        <f aca="false">E82-'급여테이블(변경전)'!E82</f>
        <v>10360</v>
      </c>
      <c r="Q92" s="0" t="n">
        <f aca="false">Q82-'급여테이블(변경전)'!Q82</f>
        <v>10350</v>
      </c>
    </row>
    <row r="94" customFormat="false" ht="15" hidden="false" customHeight="false" outlineLevel="0" collapsed="false">
      <c r="A94" s="0" t="s">
        <v>90</v>
      </c>
    </row>
    <row r="95" customFormat="false" ht="15" hidden="false" customHeight="false" outlineLevel="0" collapsed="false">
      <c r="A95" s="0" t="s">
        <v>91</v>
      </c>
    </row>
    <row r="98" customFormat="false" ht="15" hidden="false" customHeight="false" outlineLevel="0" collapsed="false">
      <c r="A98" s="0" t="s">
        <v>92</v>
      </c>
    </row>
    <row r="99" customFormat="false" ht="15" hidden="false" customHeight="false" outlineLevel="0" collapsed="false">
      <c r="A99" s="0" t="s">
        <v>93</v>
      </c>
    </row>
    <row r="100" customFormat="false" ht="15" hidden="false" customHeight="false" outlineLevel="0" collapsed="false">
      <c r="A100" s="0" t="s">
        <v>94</v>
      </c>
    </row>
    <row r="101" customFormat="false" ht="15" hidden="false" customHeight="false" outlineLevel="0" collapsed="false">
      <c r="A101" s="1" t="s">
        <v>95</v>
      </c>
    </row>
    <row r="102" customFormat="false" ht="15" hidden="false" customHeight="false" outlineLevel="0" collapsed="false">
      <c r="A102" s="1" t="s">
        <v>19</v>
      </c>
      <c r="B102" s="1" t="s">
        <v>96</v>
      </c>
    </row>
    <row r="103" customFormat="false" ht="15" hidden="false" customHeight="false" outlineLevel="0" collapsed="false">
      <c r="A103" s="1" t="s">
        <v>97</v>
      </c>
      <c r="B103" s="1" t="s">
        <v>98</v>
      </c>
    </row>
    <row r="104" customFormat="false" ht="15" hidden="false" customHeight="false" outlineLevel="0" collapsed="false">
      <c r="A104" s="1" t="s">
        <v>99</v>
      </c>
      <c r="B104" s="1" t="s">
        <v>100</v>
      </c>
    </row>
    <row r="113" customFormat="false" ht="15" hidden="false" customHeight="false" outlineLevel="0" collapsed="false">
      <c r="A113" s="0" t="s">
        <v>101</v>
      </c>
    </row>
    <row r="117" customFormat="false" ht="15" hidden="false" customHeight="false" outlineLevel="0" collapsed="false">
      <c r="A117" s="0" t="s">
        <v>102</v>
      </c>
    </row>
    <row r="122" customFormat="false" ht="15" hidden="false" customHeight="false" outlineLevel="0" collapsed="false">
      <c r="A122" s="0" t="s">
        <v>103</v>
      </c>
    </row>
    <row r="125" customFormat="false" ht="15" hidden="false" customHeight="false" outlineLevel="0" collapsed="false">
      <c r="A125" s="0" t="s">
        <v>104</v>
      </c>
    </row>
    <row r="128" customFormat="false" ht="15" hidden="false" customHeight="false" outlineLevel="0" collapsed="false">
      <c r="A128" s="0" t="s">
        <v>105</v>
      </c>
    </row>
    <row r="129" customFormat="false" ht="15" hidden="false" customHeight="false" outlineLevel="0" collapsed="false">
      <c r="A129" s="1" t="s">
        <v>106</v>
      </c>
      <c r="B129" s="1" t="s">
        <v>107</v>
      </c>
      <c r="C129" s="1" t="s">
        <v>108</v>
      </c>
      <c r="E129" s="1" t="s">
        <v>109</v>
      </c>
      <c r="F129" s="1" t="s">
        <v>110</v>
      </c>
      <c r="G129" s="1" t="s">
        <v>111</v>
      </c>
    </row>
    <row r="130" customFormat="false" ht="15" hidden="false" customHeight="false" outlineLevel="0" collapsed="false">
      <c r="A130" s="1" t="s">
        <v>27</v>
      </c>
      <c r="B130" s="1" t="s">
        <v>27</v>
      </c>
      <c r="C130" s="1" t="s">
        <v>112</v>
      </c>
      <c r="E130" s="0" t="s">
        <v>113</v>
      </c>
      <c r="F130" s="0" t="s">
        <v>114</v>
      </c>
    </row>
    <row r="131" customFormat="false" ht="15" hidden="false" customHeight="false" outlineLevel="0" collapsed="false">
      <c r="A131" s="1" t="s">
        <v>115</v>
      </c>
      <c r="B131" s="1" t="s">
        <v>115</v>
      </c>
      <c r="C131" s="1" t="s">
        <v>112</v>
      </c>
      <c r="E131" s="0" t="s">
        <v>113</v>
      </c>
      <c r="F131" s="0" t="s">
        <v>114</v>
      </c>
    </row>
    <row r="132" customFormat="false" ht="15" hidden="false" customHeight="false" outlineLevel="0" collapsed="false">
      <c r="A132" s="1" t="s">
        <v>35</v>
      </c>
      <c r="B132" s="1" t="s">
        <v>35</v>
      </c>
      <c r="C132" s="1" t="s">
        <v>112</v>
      </c>
      <c r="E132" s="0" t="s">
        <v>113</v>
      </c>
      <c r="F132" s="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2026-10-27T01:12:26Z</dcterms:created>
  <dc:creator>openpyxl</dc:creator>
  <dc:description/>
  <dc:language>en-US</dc:language>
  <cp:lastModifiedBy/>
  <dcterms:modified xsi:type="dcterms:W3CDTF">2026-10-27T01:12:26Z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